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u\VinLab\phase2-track4\Lec1-Noron\K4-Track4-Day1-Neuralnetwork\.verification\part34\"/>
    </mc:Choice>
  </mc:AlternateContent>
  <xr:revisionPtr revIDLastSave="0" documentId="13_ncr:1_{2ABE5BAD-D70C-41AE-8EBC-E26D80C083E0}" xr6:coauthVersionLast="47" xr6:coauthVersionMax="47" xr10:uidLastSave="{00000000-0000-0000-0000-000000000000}"/>
  <bookViews>
    <workbookView xWindow="1520" yWindow="1520" windowWidth="14400" windowHeight="7270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9" i="3"/>
  <c r="B10" i="3" s="1"/>
  <c r="D6" i="3"/>
  <c r="D9" i="3" s="1"/>
  <c r="D10" i="3" s="1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D8" i="3" l="1"/>
  <c r="B8" i="3"/>
  <c r="E12" i="4"/>
  <c r="D12" i="4"/>
  <c r="F12" i="4"/>
  <c r="D11" i="4"/>
  <c r="E11" i="4"/>
  <c r="F11" i="4"/>
  <c r="F10" i="4"/>
  <c r="E10" i="4"/>
  <c r="D10" i="4"/>
  <c r="E9" i="4"/>
  <c r="G9" i="4"/>
  <c r="F9" i="4"/>
  <c r="D9" i="4"/>
  <c r="E8" i="4"/>
  <c r="G8" i="4"/>
  <c r="F8" i="4"/>
  <c r="D8" i="4"/>
  <c r="G7" i="4"/>
  <c r="F7" i="4"/>
  <c r="E7" i="4"/>
  <c r="D7" i="4"/>
  <c r="E6" i="4"/>
  <c r="F6" i="4"/>
  <c r="D6" i="4"/>
  <c r="G6" i="4"/>
  <c r="D5" i="4"/>
  <c r="E5" i="4"/>
  <c r="G5" i="4"/>
  <c r="F5" i="4"/>
  <c r="G4" i="4"/>
  <c r="E4" i="4"/>
  <c r="D4" i="4"/>
  <c r="F4" i="4"/>
  <c r="G3" i="4"/>
  <c r="D3" i="4"/>
  <c r="E3" i="4"/>
  <c r="F3" i="4"/>
  <c r="F2" i="4"/>
  <c r="D2" i="4"/>
  <c r="E2" i="4"/>
  <c r="C8" i="3"/>
  <c r="C9" i="3"/>
  <c r="C10" i="3" s="1"/>
  <c r="AF3" i="2" l="1"/>
  <c r="AG3" i="2" s="1"/>
  <c r="AF6" i="2"/>
  <c r="AG6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28" i="2"/>
  <c r="AG28" i="2" s="1"/>
  <c r="AF29" i="2"/>
  <c r="AG29" i="2" s="1"/>
  <c r="AF30" i="2"/>
  <c r="AG30" i="2" s="1"/>
  <c r="AF31" i="2"/>
  <c r="AG31" i="2" s="1"/>
  <c r="AF32" i="2"/>
  <c r="AG32" i="2" s="1"/>
  <c r="AF33" i="2"/>
  <c r="AG33" i="2" s="1"/>
  <c r="AF34" i="2"/>
  <c r="AG34" i="2" s="1"/>
  <c r="AF35" i="2"/>
  <c r="AG35" i="2" s="1"/>
  <c r="AF49" i="2"/>
  <c r="AG49" i="2" s="1"/>
  <c r="AF36" i="2"/>
  <c r="AG36" i="2" s="1"/>
  <c r="AF37" i="2"/>
  <c r="AG37" i="2" s="1"/>
  <c r="AF38" i="2"/>
  <c r="AG38" i="2" s="1"/>
  <c r="AF39" i="2"/>
  <c r="AG39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50" i="2"/>
  <c r="AG50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59" i="2"/>
  <c r="AG59" i="2" s="1"/>
  <c r="AF60" i="2"/>
  <c r="AG60" i="2" s="1"/>
  <c r="AF61" i="2"/>
  <c r="AG61" i="2" s="1"/>
  <c r="AF8" i="2"/>
  <c r="AG8" i="2" s="1"/>
  <c r="AF2" i="2"/>
  <c r="AG2" i="2" s="1"/>
  <c r="AF4" i="2"/>
  <c r="AG4" i="2" s="1"/>
  <c r="AF5" i="2"/>
  <c r="AG5" i="2" s="1"/>
  <c r="AF7" i="2"/>
  <c r="AG7" i="2" s="1"/>
  <c r="AF9" i="2"/>
  <c r="AG9" i="2" s="1"/>
  <c r="AF10" i="2"/>
  <c r="AG10" i="2" s="1"/>
  <c r="AF11" i="2"/>
  <c r="AG11" i="2" s="1"/>
  <c r="AF12" i="2"/>
  <c r="AG12" i="2" s="1"/>
  <c r="AF13" i="2"/>
  <c r="AG13" i="2" s="1"/>
  <c r="AF14" i="2"/>
  <c r="AG14" i="2" s="1"/>
  <c r="AF15" i="2"/>
  <c r="AG15" i="2" s="1"/>
  <c r="AF16" i="2"/>
  <c r="AG16" i="2" s="1"/>
  <c r="AF17" i="2"/>
  <c r="AG17" i="2" s="1"/>
  <c r="AF18" i="2"/>
  <c r="AG18" i="2" s="1"/>
  <c r="AF19" i="2"/>
  <c r="AG19" i="2" s="1"/>
  <c r="AF20" i="2"/>
  <c r="AG20" i="2" s="1"/>
  <c r="AF21" i="2"/>
  <c r="AG21" i="2" s="1"/>
  <c r="D13" i="4"/>
</calcChain>
</file>

<file path=xl/sharedStrings.xml><?xml version="1.0" encoding="utf-8"?>
<sst xmlns="http://schemas.openxmlformats.org/spreadsheetml/2006/main" count="374" uniqueCount="193">
  <si>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</si>
  <si>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</si>
  <si>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</si>
  <si>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</si>
  <si>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</si>
  <si>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</si>
  <si>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</si>
  <si>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</si>
  <si>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</si>
  <si>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</si>
  <si>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</si>
  <si>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</si>
  <si>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</si>
  <si>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</si>
  <si>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</si>
  <si>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</si>
  <si>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</si>
  <si>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</si>
  <si>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</si>
  <si>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</si>
  <si>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</si>
  <si>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</si>
  <si>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</si>
  <si>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</si>
  <si>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</si>
  <si>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</si>
  <si>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</si>
  <si>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</si>
  <si>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</si>
  <si>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</si>
  <si>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</si>
  <si>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</si>
  <si>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</si>
  <si>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</si>
  <si>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</si>
  <si>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</si>
  <si>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</si>
  <si>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</si>
  <si>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</si>
  <si>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</si>
  <si>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</si>
  <si>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</si>
  <si>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</si>
  <si>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</si>
  <si>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</si>
  <si>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</si>
  <si>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</si>
  <si>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</si>
  <si>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</si>
  <si>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</si>
  <si>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</si>
  <si>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</si>
  <si>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</si>
  <si>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</si>
  <si>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</si>
  <si>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</si>
  <si>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</si>
  <si>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</si>
  <si>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</si>
  <si>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</si>
  <si>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</si>
  <si>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</si>
  <si>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</si>
  <si>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</si>
  <si>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</si>
  <si>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</si>
  <si>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</si>
  <si>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</si>
  <si>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</si>
  <si>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</si>
  <si>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</si>
  <si>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</si>
  <si>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</si>
  <si>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</si>
  <si>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</si>
  <si>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</si>
  <si>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</si>
  <si>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</si>
  <si>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</si>
  <si>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</si>
  <si>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</si>
  <si>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</si>
  <si>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</si>
  <si>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</si>
  <si>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</si>
  <si>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</si>
  <si>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</si>
  <si>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</si>
  <si>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</si>
  <si>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</si>
  <si>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</si>
  <si>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</si>
  <si>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</si>
  <si>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</si>
  <si>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</si>
  <si>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</si>
  <si>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</si>
  <si>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</si>
  <si>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</si>
  <si>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</si>
  <si>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</si>
  <si>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</si>
  <si>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</si>
  <si>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</si>
  <si>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</si>
  <si>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</si>
  <si>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</si>
  <si>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</si>
  <si>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</si>
  <si>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</si>
  <si>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</si>
  <si>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</si>
  <si>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</si>
  <si>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</si>
  <si>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</si>
  <si>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</t>
  </si>
  <si>
    <t>ce</t>
  </si>
  <si>
    <t>sgd_momentum</t>
  </si>
  <si>
    <t>256-128</t>
  </si>
  <si>
    <t>none</t>
  </si>
  <si>
    <t>fp32</t>
  </si>
  <si>
    <t>he</t>
  </si>
  <si>
    <t>figures/base-s1.png</t>
  </si>
  <si>
    <t>Preview from actual completed results; not final deliverable</t>
  </si>
  <si>
    <t>base-s2</t>
  </si>
  <si>
    <t>figures/base-s2.png</t>
  </si>
  <si>
    <t>base-s3</t>
  </si>
  <si>
    <t>figures/base-s3.png</t>
  </si>
  <si>
    <t>batch-2048</t>
  </si>
  <si>
    <t>hparam</t>
  </si>
  <si>
    <t>Larger batch reduces updates per epoch and may slow convergence at fixed LR.</t>
  </si>
  <si>
    <t>figures/batch-2048.png</t>
  </si>
  <si>
    <t>clip-high-none</t>
  </si>
  <si>
    <t>clipping</t>
  </si>
  <si>
    <t>Ten-fold LR may cause large gradients, unstable loss, or divergence.</t>
  </si>
  <si>
    <t>figures/clip-high-none.png</t>
  </si>
  <si>
    <t>clip-high-on</t>
  </si>
  <si>
    <t>At the same high LR clipping may limit spikes, but cannot guarantee stable convergence.</t>
  </si>
  <si>
    <t>figures/clip-high-on.png</t>
  </si>
  <si>
    <t>clip-normal</t>
  </si>
  <si>
    <t>Clipping should activate at normal LR and may slow learning.</t>
  </si>
  <si>
    <t>figures/clip-normal.png</t>
  </si>
  <si>
    <t>drop-0.1</t>
  </si>
  <si>
    <t>Dropout may reduce the train-val gap but hurt a baseline still improving at epoch 20.</t>
  </si>
  <si>
    <t>figures/drop-0.1.png</t>
  </si>
  <si>
    <t>loss-mse</t>
  </si>
  <si>
    <t>MSE on raw logits versus one-hot targets may fit classification less effectively than CE.</t>
  </si>
  <si>
    <t>mse</t>
  </si>
  <si>
    <t>figures/loss-mse.png</t>
  </si>
  <si>
    <t>lr-0.01-s1</t>
  </si>
  <si>
    <t>lr_screen</t>
  </si>
  <si>
    <t>Validation-only LR screening; 3 epoch budget</t>
  </si>
  <si>
    <t>figures/lr-0.01-s1.png</t>
  </si>
  <si>
    <t>lr-0.03-s1</t>
  </si>
  <si>
    <t>figures/lr-0.03-s1.png</t>
  </si>
  <si>
    <t>lr-0.1-s1</t>
  </si>
  <si>
    <t>figures/lr-0.1-s1.png</t>
  </si>
  <si>
    <t>opt-adam-0.001</t>
  </si>
  <si>
    <t>Adam may converge faster through per-parameter adaptive updates.</t>
  </si>
  <si>
    <t>adam</t>
  </si>
  <si>
    <t>figures/opt-adam-0.001.png</t>
  </si>
  <si>
    <t>opt-adam-0.003</t>
  </si>
  <si>
    <t>Larger Adam LR may accelerate early fitting but increase oscillation.</t>
  </si>
  <si>
    <t>figures/opt-adam-0.003.png</t>
  </si>
  <si>
    <t>opt-sgdm-0.03</t>
  </si>
  <si>
    <t>SGD momentum LR 0.03 may converge more slowly than 0.1.</t>
  </si>
  <si>
    <t>figures/opt-sgdm-0.03.png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</si>
  <si>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</si>
  <si>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</si>
  <si>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</si>
  <si>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</si>
  <si>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</si>
  <si>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</si>
  <si>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</si>
  <si>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</si>
  <si>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</si>
  <si>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</si>
  <si>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</si>
  <si>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</si>
  <si>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</si>
  <si>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</si>
  <si>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Best val F1: base-s2 = 0.856881. Preview from actual completed results; not final deliverable</t>
  </si>
  <si>
    <t>Best val F1: loss-mse = 0.736066. Preview from actual completed results; not final deliverable</t>
  </si>
  <si>
    <t>Best val F1: opt-adam-0.003 = 0.874035. Preview from actual completed results; not final deliverable</t>
  </si>
  <si>
    <t>Best val F1: batch-2048 = 0.809498. Preview from actual completed results; not final deliverable</t>
  </si>
  <si>
    <t>Best val F1: drop-0.1 = 0.841766. Preview from actual completed results; not final deliverable</t>
  </si>
  <si>
    <t>Best val F1: clip-normal = 0.827755. Preview from actual completed results; not final deliverable</t>
  </si>
  <si>
    <t>amp</t>
  </si>
  <si>
    <t>final</t>
  </si>
  <si>
    <t>other</t>
  </si>
  <si>
    <t>Best val F1: lr-0.1-s1 = 0.706247. Preview from actual completed results; not final deliverable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</si>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</sst>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328125" defaultRowHeight="14.5" x14ac:dyDescent="0.3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99999999999999" customHeight="1" x14ac:dyDescent="0.4">
      <c r="A1" s="1" t="s">
        <v>0</v>
      </c>
    </row>
    <row r="2" spans="1:2" ht="15" customHeight="1" x14ac:dyDescent="0.35">
      <c r="A2" s="2" t="s">
        <v>1</v>
      </c>
    </row>
    <row r="4" spans="1:2" ht="15" customHeight="1" x14ac:dyDescent="0.35">
      <c r="A4" s="3" t="s">
        <v>2</v>
      </c>
    </row>
    <row r="5" spans="1:2" ht="15" customHeight="1" x14ac:dyDescent="0.35">
      <c r="A5" s="4" t="s">
        <v>3</v>
      </c>
      <c r="B5" s="2" t="s">
        <v>4</v>
      </c>
    </row>
    <row r="6" spans="1:2" ht="15" customHeight="1" x14ac:dyDescent="0.35">
      <c r="A6" s="5" t="s">
        <v>5</v>
      </c>
      <c r="B6" s="2" t="s">
        <v>6</v>
      </c>
    </row>
    <row r="7" spans="1:2" ht="15" customHeight="1" x14ac:dyDescent="0.35">
      <c r="A7" s="6" t="s">
        <v>3</v>
      </c>
      <c r="B7" s="2" t="s">
        <v>7</v>
      </c>
    </row>
    <row r="9" spans="1:2" ht="15" customHeight="1" x14ac:dyDescent="0.35">
      <c r="A9" s="3" t="s">
        <v>8</v>
      </c>
    </row>
    <row r="10" spans="1:2" ht="15" customHeight="1" x14ac:dyDescent="0.35">
      <c r="A10" s="2" t="s">
        <v>9</v>
      </c>
    </row>
    <row r="11" spans="1:2" ht="15" customHeight="1" x14ac:dyDescent="0.35">
      <c r="A11" s="2" t="s">
        <v>10</v>
      </c>
    </row>
    <row r="12" spans="1:2" ht="15" customHeight="1" x14ac:dyDescent="0.35">
      <c r="A12" s="2" t="s">
        <v>11</v>
      </c>
    </row>
    <row r="13" spans="1:2" ht="15" customHeight="1" x14ac:dyDescent="0.35">
      <c r="A13" s="2" t="s">
        <v>12</v>
      </c>
    </row>
    <row r="14" spans="1:2" ht="15" customHeight="1" x14ac:dyDescent="0.35">
      <c r="A14" s="2" t="s">
        <v>13</v>
      </c>
    </row>
    <row r="16" spans="1:2" ht="15" customHeight="1" x14ac:dyDescent="0.35">
      <c r="A16" s="3" t="s">
        <v>14</v>
      </c>
    </row>
    <row r="17" spans="1:3" ht="15" customHeight="1" x14ac:dyDescent="0.35">
      <c r="A17" s="7" t="s">
        <v>15</v>
      </c>
      <c r="B17" s="7" t="s">
        <v>16</v>
      </c>
      <c r="C17" s="7" t="s">
        <v>17</v>
      </c>
    </row>
    <row r="18" spans="1:3" ht="15" customHeight="1" x14ac:dyDescent="0.35">
      <c r="A18" s="8" t="s">
        <v>18</v>
      </c>
      <c r="B18" s="9" t="s">
        <v>19</v>
      </c>
      <c r="C18" s="9" t="s">
        <v>20</v>
      </c>
    </row>
    <row r="19" spans="1:3" ht="23.9" customHeight="1" x14ac:dyDescent="0.35">
      <c r="A19" s="8" t="s">
        <v>21</v>
      </c>
      <c r="B19" s="9" t="s">
        <v>22</v>
      </c>
      <c r="C19" s="9" t="s">
        <v>23</v>
      </c>
    </row>
    <row r="20" spans="1:3" ht="15" customHeight="1" x14ac:dyDescent="0.35">
      <c r="A20" s="8" t="s">
        <v>24</v>
      </c>
      <c r="B20" s="9" t="s">
        <v>25</v>
      </c>
      <c r="C20" s="9" t="s">
        <v>26</v>
      </c>
    </row>
    <row r="21" spans="1:3" ht="15" customHeight="1" x14ac:dyDescent="0.35">
      <c r="A21" s="8" t="s">
        <v>27</v>
      </c>
      <c r="B21" s="9" t="s">
        <v>28</v>
      </c>
      <c r="C21" s="9" t="s">
        <v>23</v>
      </c>
    </row>
    <row r="22" spans="1:3" ht="15" customHeight="1" x14ac:dyDescent="0.35">
      <c r="A22" s="8" t="s">
        <v>29</v>
      </c>
      <c r="B22" s="9" t="s">
        <v>30</v>
      </c>
      <c r="C22" s="9" t="s">
        <v>23</v>
      </c>
    </row>
    <row r="23" spans="1:3" ht="15" customHeight="1" x14ac:dyDescent="0.35">
      <c r="A23" s="8" t="s">
        <v>31</v>
      </c>
      <c r="B23" s="9" t="s">
        <v>32</v>
      </c>
      <c r="C23" s="9" t="s">
        <v>33</v>
      </c>
    </row>
    <row r="24" spans="1:3" ht="15" customHeight="1" x14ac:dyDescent="0.35">
      <c r="A24" s="8" t="s">
        <v>34</v>
      </c>
      <c r="B24" s="9" t="s">
        <v>35</v>
      </c>
      <c r="C24" s="9" t="s">
        <v>36</v>
      </c>
    </row>
    <row r="25" spans="1:3" ht="15" customHeight="1" x14ac:dyDescent="0.35">
      <c r="A25" s="8" t="s">
        <v>37</v>
      </c>
      <c r="B25" s="9" t="s">
        <v>38</v>
      </c>
      <c r="C25" s="9" t="s">
        <v>39</v>
      </c>
    </row>
    <row r="26" spans="1:3" ht="15" customHeight="1" x14ac:dyDescent="0.35">
      <c r="A26" s="8" t="s">
        <v>40</v>
      </c>
      <c r="B26" s="9" t="s">
        <v>41</v>
      </c>
      <c r="C26" s="9" t="s">
        <v>42</v>
      </c>
    </row>
    <row r="27" spans="1:3" ht="15" customHeight="1" x14ac:dyDescent="0.35">
      <c r="A27" s="8" t="s">
        <v>43</v>
      </c>
      <c r="B27" s="9" t="s">
        <v>44</v>
      </c>
      <c r="C27" s="9" t="s">
        <v>45</v>
      </c>
    </row>
    <row r="28" spans="1:3" ht="15" customHeight="1" x14ac:dyDescent="0.35">
      <c r="A28" s="8" t="s">
        <v>46</v>
      </c>
      <c r="B28" s="9" t="s">
        <v>47</v>
      </c>
      <c r="C28" s="9" t="s">
        <v>36</v>
      </c>
    </row>
    <row r="29" spans="1:3" ht="15" customHeight="1" x14ac:dyDescent="0.35">
      <c r="A29" s="8" t="s">
        <v>48</v>
      </c>
      <c r="B29" s="9" t="s">
        <v>49</v>
      </c>
      <c r="C29" s="9" t="s">
        <v>50</v>
      </c>
    </row>
    <row r="30" spans="1:3" ht="15" customHeight="1" x14ac:dyDescent="0.35">
      <c r="A30" s="8" t="s">
        <v>51</v>
      </c>
      <c r="B30" s="9" t="s">
        <v>52</v>
      </c>
      <c r="C30" s="9" t="s">
        <v>23</v>
      </c>
    </row>
    <row r="31" spans="1:3" ht="15" customHeight="1" x14ac:dyDescent="0.35">
      <c r="A31" s="8" t="s">
        <v>53</v>
      </c>
      <c r="B31" s="9" t="s">
        <v>54</v>
      </c>
      <c r="C31" s="9" t="s">
        <v>55</v>
      </c>
    </row>
    <row r="32" spans="1:3" ht="15" customHeight="1" x14ac:dyDescent="0.35">
      <c r="A32" s="8" t="s">
        <v>56</v>
      </c>
      <c r="B32" s="9" t="s">
        <v>57</v>
      </c>
      <c r="C32" s="9" t="s">
        <v>39</v>
      </c>
    </row>
    <row r="33" spans="1:3" ht="15" customHeight="1" x14ac:dyDescent="0.35">
      <c r="A33" s="8" t="s">
        <v>58</v>
      </c>
      <c r="B33" s="9" t="s">
        <v>59</v>
      </c>
      <c r="C33" s="9" t="s">
        <v>60</v>
      </c>
    </row>
    <row r="34" spans="1:3" ht="15" customHeight="1" x14ac:dyDescent="0.35">
      <c r="A34" s="8" t="s">
        <v>61</v>
      </c>
      <c r="B34" s="9" t="s">
        <v>62</v>
      </c>
      <c r="C34" s="9"/>
    </row>
    <row r="35" spans="1:3" ht="15" customHeight="1" x14ac:dyDescent="0.35">
      <c r="A35" s="8" t="s">
        <v>63</v>
      </c>
      <c r="B35" s="9" t="s">
        <v>64</v>
      </c>
      <c r="C35" s="9" t="s">
        <v>65</v>
      </c>
    </row>
    <row r="36" spans="1:3" ht="15" customHeight="1" x14ac:dyDescent="0.35">
      <c r="A36" s="8" t="s">
        <v>66</v>
      </c>
      <c r="B36" s="9" t="s">
        <v>67</v>
      </c>
      <c r="C36" s="9"/>
    </row>
    <row r="37" spans="1:3" ht="15" customHeight="1" x14ac:dyDescent="0.35">
      <c r="A37" s="8" t="s">
        <v>68</v>
      </c>
      <c r="B37" s="9" t="s">
        <v>69</v>
      </c>
      <c r="C37" s="9"/>
    </row>
    <row r="38" spans="1:3" ht="15" customHeight="1" x14ac:dyDescent="0.35">
      <c r="A38" s="8" t="s">
        <v>70</v>
      </c>
      <c r="B38" s="9" t="s">
        <v>71</v>
      </c>
      <c r="C38" s="9" t="s">
        <v>72</v>
      </c>
    </row>
    <row r="39" spans="1:3" ht="15" customHeight="1" x14ac:dyDescent="0.35">
      <c r="A39" s="8" t="s">
        <v>73</v>
      </c>
      <c r="B39" s="9" t="s">
        <v>74</v>
      </c>
      <c r="C39" s="9" t="s">
        <v>75</v>
      </c>
    </row>
    <row r="40" spans="1:3" ht="15" customHeight="1" x14ac:dyDescent="0.35">
      <c r="A40" s="8" t="s">
        <v>76</v>
      </c>
      <c r="B40" s="9" t="s">
        <v>77</v>
      </c>
      <c r="C40" s="9" t="s">
        <v>78</v>
      </c>
    </row>
    <row r="41" spans="1:3" ht="15" customHeight="1" x14ac:dyDescent="0.35">
      <c r="A41" s="8" t="s">
        <v>79</v>
      </c>
      <c r="B41" s="9" t="s">
        <v>80</v>
      </c>
      <c r="C41" s="9" t="s">
        <v>81</v>
      </c>
    </row>
    <row r="42" spans="1:3" ht="15" customHeight="1" x14ac:dyDescent="0.35">
      <c r="A42" s="8" t="s">
        <v>82</v>
      </c>
      <c r="B42" s="9" t="s">
        <v>83</v>
      </c>
      <c r="C42" s="9" t="s">
        <v>23</v>
      </c>
    </row>
    <row r="43" spans="1:3" ht="23.9" customHeight="1" x14ac:dyDescent="0.35">
      <c r="A43" s="8" t="s">
        <v>84</v>
      </c>
      <c r="B43" s="9" t="s">
        <v>85</v>
      </c>
      <c r="C43" s="9" t="s">
        <v>86</v>
      </c>
    </row>
    <row r="44" spans="1:3" ht="23.9" customHeight="1" x14ac:dyDescent="0.35">
      <c r="A44" s="8" t="s">
        <v>87</v>
      </c>
      <c r="B44" s="9" t="s">
        <v>88</v>
      </c>
      <c r="C44" s="9" t="s">
        <v>86</v>
      </c>
    </row>
    <row r="45" spans="1:3" ht="15" customHeight="1" x14ac:dyDescent="0.35">
      <c r="A45" s="8" t="s">
        <v>89</v>
      </c>
      <c r="B45" s="9" t="s">
        <v>90</v>
      </c>
      <c r="C45" s="9" t="s">
        <v>91</v>
      </c>
    </row>
    <row r="46" spans="1:3" ht="15" customHeight="1" x14ac:dyDescent="0.35">
      <c r="A46" s="8" t="s">
        <v>92</v>
      </c>
      <c r="B46" s="9" t="s">
        <v>93</v>
      </c>
      <c r="C46" s="9" t="s">
        <v>94</v>
      </c>
    </row>
    <row r="47" spans="1:3" ht="15" customHeight="1" x14ac:dyDescent="0.35">
      <c r="A47" s="8" t="s">
        <v>95</v>
      </c>
      <c r="B47" s="9" t="s">
        <v>96</v>
      </c>
      <c r="C47" s="9" t="s">
        <v>97</v>
      </c>
    </row>
    <row r="48" spans="1:3" ht="15" customHeight="1" x14ac:dyDescent="0.35">
      <c r="A48" s="8" t="s">
        <v>98</v>
      </c>
      <c r="B48" s="9" t="s">
        <v>99</v>
      </c>
      <c r="C48" s="9" t="s">
        <v>100</v>
      </c>
    </row>
    <row r="49" spans="1:12" ht="15" customHeight="1" x14ac:dyDescent="0.35">
      <c r="A49" s="8" t="s">
        <v>101</v>
      </c>
      <c r="B49" s="9" t="s">
        <v>102</v>
      </c>
      <c r="C49" s="9" t="s">
        <v>103</v>
      </c>
    </row>
    <row r="50" spans="1:12" ht="15" customHeight="1" x14ac:dyDescent="0.35">
      <c r="A50" s="8" t="s">
        <v>104</v>
      </c>
      <c r="B50" s="9" t="s">
        <v>105</v>
      </c>
      <c r="C50" s="9" t="s">
        <v>106</v>
      </c>
    </row>
    <row r="52" spans="1:12" ht="15" customHeight="1" x14ac:dyDescent="0.35">
      <c r="A52" s="3" t="s">
        <v>107</v>
      </c>
    </row>
    <row r="53" spans="1:12" ht="23.9" customHeight="1" x14ac:dyDescent="0.3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3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3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39" x14ac:dyDescent="0.3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25" x14ac:dyDescent="0.35">
      <c r="A2" s="12" t="s">
        <v>113</v>
      </c>
      <c r="B2" s="12" t="s">
        <v>114</v>
      </c>
      <c r="C2" s="19" t="s">
        <v>115</v>
      </c>
      <c r="D2" s="12" t="s">
        <v>116</v>
      </c>
      <c r="E2" s="12" t="s">
        <v>117</v>
      </c>
      <c r="F2" s="13">
        <v>0.1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2.2690620422363281</v>
      </c>
      <c r="Q2" s="14">
        <v>0.2381998747587204</v>
      </c>
      <c r="R2" s="13">
        <v>19</v>
      </c>
      <c r="S2" s="14">
        <v>0.2167506217956543</v>
      </c>
      <c r="T2" s="14">
        <v>0.24077558517456049</v>
      </c>
      <c r="U2" s="14">
        <v>0.90346593231643035</v>
      </c>
      <c r="V2" s="14">
        <v>0</v>
      </c>
      <c r="W2" s="13">
        <v>3.1909859850005891</v>
      </c>
      <c r="X2" s="13"/>
      <c r="Y2" s="13" t="b">
        <v>0</v>
      </c>
      <c r="Z2" s="14"/>
      <c r="AA2" s="14"/>
      <c r="AB2" s="18" t="s">
        <v>122</v>
      </c>
      <c r="AC2" s="18" t="s">
        <v>123</v>
      </c>
      <c r="AD2" s="15">
        <f t="shared" ref="AD2:AD33" si="0">IF(P2="","",P2-LN(7))</f>
        <v>0.32315189318101489</v>
      </c>
      <c r="AE2" s="15">
        <f t="shared" ref="AE2:AE33" si="1">IF(OR(T2="",S2=""),"",T2-S2)</f>
        <v>2.4024963378906194E-2</v>
      </c>
      <c r="AF2" s="15">
        <f>IF(OR(V2="",Seeds!$C$8=""),"",V2-Seeds!$C$8)</f>
        <v>-0.57084284625941073</v>
      </c>
      <c r="AG2" s="15" t="str">
        <f>IF(OR(AF2="",Seeds!$C$10=""),"",IF(ABS(AF2)&gt;Seeds!$C$10,"Có","Không"))</f>
        <v>Không</v>
      </c>
    </row>
    <row r="3" spans="1:33" ht="25" x14ac:dyDescent="0.35">
      <c r="A3" s="13" t="s">
        <v>124</v>
      </c>
      <c r="B3" s="13" t="s">
        <v>114</v>
      </c>
      <c r="C3" s="18" t="s">
        <v>115</v>
      </c>
      <c r="D3" s="13" t="s">
        <v>116</v>
      </c>
      <c r="E3" s="13" t="s">
        <v>117</v>
      </c>
      <c r="F3" s="13">
        <v>0.1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1.978156685829163</v>
      </c>
      <c r="Q3" s="14">
        <v>0.2244814932346344</v>
      </c>
      <c r="R3" s="13">
        <v>20</v>
      </c>
      <c r="S3" s="14">
        <v>0.20471423864364621</v>
      </c>
      <c r="T3" s="14">
        <v>0.2244814932346344</v>
      </c>
      <c r="U3" s="14">
        <v>0.91010305286030846</v>
      </c>
      <c r="V3" s="14">
        <v>0.85688068366609538</v>
      </c>
      <c r="W3" s="13">
        <v>3.4998335000003862</v>
      </c>
      <c r="X3" s="13"/>
      <c r="Y3" s="13" t="b">
        <v>0</v>
      </c>
      <c r="Z3" s="14"/>
      <c r="AA3" s="14"/>
      <c r="AB3" s="18" t="s">
        <v>125</v>
      </c>
      <c r="AC3" s="18" t="s">
        <v>123</v>
      </c>
      <c r="AD3" s="15">
        <f t="shared" si="0"/>
        <v>3.224653677384981E-2</v>
      </c>
      <c r="AE3" s="15">
        <f t="shared" si="1"/>
        <v>1.9767254590988187E-2</v>
      </c>
      <c r="AF3" s="15">
        <f>IF(OR(V3="",Seeds!$C$8=""),"",V3-Seeds!$C$8)</f>
        <v>0.28603783740668465</v>
      </c>
      <c r="AG3" s="15" t="str">
        <f>IF(OR(AF3="",Seeds!$C$10=""),"",IF(ABS(AF3)&gt;Seeds!$C$10,"Có","Không"))</f>
        <v>Không</v>
      </c>
    </row>
    <row r="4" spans="1:33" ht="25" x14ac:dyDescent="0.35">
      <c r="A4" s="13" t="s">
        <v>126</v>
      </c>
      <c r="B4" s="13" t="s">
        <v>114</v>
      </c>
      <c r="C4" s="18" t="s">
        <v>115</v>
      </c>
      <c r="D4" s="13" t="s">
        <v>116</v>
      </c>
      <c r="E4" s="13" t="s">
        <v>117</v>
      </c>
      <c r="F4" s="13">
        <v>0.1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1.9005399942398069</v>
      </c>
      <c r="Q4" s="14">
        <v>0.23048204183578491</v>
      </c>
      <c r="R4" s="13">
        <v>19</v>
      </c>
      <c r="S4" s="14">
        <v>0.21796733140945429</v>
      </c>
      <c r="T4" s="14">
        <v>0.2421474754810333</v>
      </c>
      <c r="U4" s="14">
        <v>0.9088014457520277</v>
      </c>
      <c r="V4" s="14">
        <v>0.8556478551121367</v>
      </c>
      <c r="W4" s="13">
        <v>3.174656865000725</v>
      </c>
      <c r="X4" s="13"/>
      <c r="Y4" s="13" t="b">
        <v>0</v>
      </c>
      <c r="Z4" s="14"/>
      <c r="AA4" s="14"/>
      <c r="AB4" s="18" t="s">
        <v>127</v>
      </c>
      <c r="AC4" s="18" t="s">
        <v>123</v>
      </c>
      <c r="AD4" s="15">
        <f t="shared" si="0"/>
        <v>-4.5370154815506325E-2</v>
      </c>
      <c r="AE4" s="15">
        <f t="shared" si="1"/>
        <v>2.4180144071579007E-2</v>
      </c>
      <c r="AF4" s="15">
        <f>IF(OR(V4="",Seeds!$C$8=""),"",V4-Seeds!$C$8)</f>
        <v>0.28480500885272597</v>
      </c>
      <c r="AG4" s="15" t="str">
        <f>IF(OR(AF4="",Seeds!$C$10=""),"",IF(ABS(AF4)&gt;Seeds!$C$10,"Có","Không"))</f>
        <v>Không</v>
      </c>
    </row>
    <row r="5" spans="1:33" ht="25" x14ac:dyDescent="0.35">
      <c r="A5" s="13" t="s">
        <v>128</v>
      </c>
      <c r="B5" s="13" t="s">
        <v>129</v>
      </c>
      <c r="C5" s="18" t="s">
        <v>130</v>
      </c>
      <c r="D5" s="13" t="s">
        <v>116</v>
      </c>
      <c r="E5" s="13" t="s">
        <v>117</v>
      </c>
      <c r="F5" s="13">
        <v>0.1</v>
      </c>
      <c r="G5" s="13">
        <v>0</v>
      </c>
      <c r="H5" s="13">
        <v>2048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2.2690620422363281</v>
      </c>
      <c r="Q5" s="14">
        <v>0.28689369559288019</v>
      </c>
      <c r="R5" s="13">
        <v>20</v>
      </c>
      <c r="S5" s="14">
        <v>0.27449825406074518</v>
      </c>
      <c r="T5" s="14">
        <v>0.28689369559288019</v>
      </c>
      <c r="U5" s="14">
        <v>0.88220993524235714</v>
      </c>
      <c r="V5" s="14">
        <v>0.80949822208590116</v>
      </c>
      <c r="W5" s="13">
        <v>2.1558396449992872</v>
      </c>
      <c r="X5" s="13"/>
      <c r="Y5" s="13" t="b">
        <v>0</v>
      </c>
      <c r="Z5" s="14"/>
      <c r="AA5" s="14"/>
      <c r="AB5" s="18" t="s">
        <v>131</v>
      </c>
      <c r="AC5" s="18" t="s">
        <v>123</v>
      </c>
      <c r="AD5" s="15">
        <f t="shared" si="0"/>
        <v>0.32315189318101489</v>
      </c>
      <c r="AE5" s="15">
        <f t="shared" si="1"/>
        <v>1.239544153213501E-2</v>
      </c>
      <c r="AF5" s="15">
        <f>IF(OR(V5="",Seeds!$C$8=""),"",V5-Seeds!$C$8)</f>
        <v>0.23865537582649043</v>
      </c>
      <c r="AG5" s="15" t="str">
        <f>IF(OR(AF5="",Seeds!$C$10=""),"",IF(ABS(AF5)&gt;Seeds!$C$10,"Có","Không"))</f>
        <v>Không</v>
      </c>
    </row>
    <row r="6" spans="1:33" ht="25" x14ac:dyDescent="0.35">
      <c r="A6" s="13" t="s">
        <v>132</v>
      </c>
      <c r="B6" s="13" t="s">
        <v>133</v>
      </c>
      <c r="C6" s="18" t="s">
        <v>134</v>
      </c>
      <c r="D6" s="13" t="s">
        <v>116</v>
      </c>
      <c r="E6" s="13" t="s">
        <v>117</v>
      </c>
      <c r="F6" s="13">
        <v>1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2.2690620422363281</v>
      </c>
      <c r="Q6" s="14">
        <v>0.3627733588218689</v>
      </c>
      <c r="R6" s="13">
        <v>20</v>
      </c>
      <c r="S6" s="14">
        <v>0.35055562853813171</v>
      </c>
      <c r="T6" s="14">
        <v>0.3627733588218689</v>
      </c>
      <c r="U6" s="14">
        <v>0.85980293022955612</v>
      </c>
      <c r="V6" s="14">
        <v>0.744103453992362</v>
      </c>
      <c r="W6" s="13">
        <v>3.5889091499990169</v>
      </c>
      <c r="X6" s="13"/>
      <c r="Y6" s="13" t="b">
        <v>0</v>
      </c>
      <c r="Z6" s="14"/>
      <c r="AA6" s="14"/>
      <c r="AB6" s="18" t="s">
        <v>135</v>
      </c>
      <c r="AC6" s="18" t="s">
        <v>123</v>
      </c>
      <c r="AD6" s="15">
        <f t="shared" si="0"/>
        <v>0.32315189318101489</v>
      </c>
      <c r="AE6" s="15">
        <f t="shared" si="1"/>
        <v>1.2217730283737183E-2</v>
      </c>
      <c r="AF6" s="15">
        <f>IF(OR(V6="",Seeds!$C$8=""),"",V6-Seeds!$C$8)</f>
        <v>0.17326060773295127</v>
      </c>
      <c r="AG6" s="15" t="str">
        <f>IF(OR(AF6="",Seeds!$C$10=""),"",IF(ABS(AF6)&gt;Seeds!$C$10,"Có","Không"))</f>
        <v>Không</v>
      </c>
    </row>
    <row r="7" spans="1:33" ht="37.5" x14ac:dyDescent="0.35">
      <c r="A7" s="13" t="s">
        <v>136</v>
      </c>
      <c r="B7" s="13" t="s">
        <v>133</v>
      </c>
      <c r="C7" s="18" t="s">
        <v>137</v>
      </c>
      <c r="D7" s="13" t="s">
        <v>116</v>
      </c>
      <c r="E7" s="13" t="s">
        <v>117</v>
      </c>
      <c r="F7" s="13">
        <v>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>
        <v>0.28699999999999998</v>
      </c>
      <c r="M7" s="13" t="s">
        <v>120</v>
      </c>
      <c r="N7" s="13" t="s">
        <v>121</v>
      </c>
      <c r="O7" s="13">
        <v>1</v>
      </c>
      <c r="P7" s="14">
        <v>2.2690620422363281</v>
      </c>
      <c r="Q7" s="14">
        <v>0.3014427125453949</v>
      </c>
      <c r="R7" s="13">
        <v>19</v>
      </c>
      <c r="S7" s="14">
        <v>0.29930293560028082</v>
      </c>
      <c r="T7" s="14">
        <v>0.31799563765525818</v>
      </c>
      <c r="U7" s="14">
        <v>0.88482390654245824</v>
      </c>
      <c r="V7" s="14">
        <v>0.8090982415774659</v>
      </c>
      <c r="W7" s="13">
        <v>3.2144870049993188</v>
      </c>
      <c r="X7" s="13"/>
      <c r="Y7" s="13" t="b">
        <v>0</v>
      </c>
      <c r="Z7" s="14"/>
      <c r="AA7" s="14"/>
      <c r="AB7" s="18" t="s">
        <v>138</v>
      </c>
      <c r="AC7" s="18" t="s">
        <v>123</v>
      </c>
      <c r="AD7" s="15">
        <f t="shared" si="0"/>
        <v>0.32315189318101489</v>
      </c>
      <c r="AE7" s="15">
        <f t="shared" si="1"/>
        <v>1.8692702054977361E-2</v>
      </c>
      <c r="AF7" s="15">
        <f>IF(OR(V7="",Seeds!$C$8=""),"",V7-Seeds!$C$8)</f>
        <v>0.23825539531805517</v>
      </c>
      <c r="AG7" s="15" t="str">
        <f>IF(OR(AF7="",Seeds!$C$10=""),"",IF(ABS(AF7)&gt;Seeds!$C$10,"Có","Không"))</f>
        <v>Không</v>
      </c>
    </row>
    <row r="8" spans="1:33" ht="25" x14ac:dyDescent="0.35">
      <c r="A8" s="13" t="s">
        <v>139</v>
      </c>
      <c r="B8" s="13" t="s">
        <v>133</v>
      </c>
      <c r="C8" s="18" t="s">
        <v>140</v>
      </c>
      <c r="D8" s="13" t="s">
        <v>116</v>
      </c>
      <c r="E8" s="13" t="s">
        <v>117</v>
      </c>
      <c r="F8" s="13">
        <v>0.1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>
        <v>0.28699999999999998</v>
      </c>
      <c r="M8" s="13" t="s">
        <v>120</v>
      </c>
      <c r="N8" s="13" t="s">
        <v>121</v>
      </c>
      <c r="O8" s="13">
        <v>1</v>
      </c>
      <c r="P8" s="14">
        <v>2.2690620422363281</v>
      </c>
      <c r="Q8" s="14">
        <v>0.25379124283790588</v>
      </c>
      <c r="R8" s="13">
        <v>18</v>
      </c>
      <c r="S8" s="14">
        <v>0.23762644827365881</v>
      </c>
      <c r="T8" s="14">
        <v>0.25704392790794373</v>
      </c>
      <c r="U8" s="14">
        <v>0.89828101805038618</v>
      </c>
      <c r="V8" s="14">
        <v>0.82775516141497507</v>
      </c>
      <c r="W8" s="13">
        <v>3.3540977400010892</v>
      </c>
      <c r="X8" s="13"/>
      <c r="Y8" s="13" t="b">
        <v>0</v>
      </c>
      <c r="Z8" s="14"/>
      <c r="AA8" s="14"/>
      <c r="AB8" s="18" t="s">
        <v>141</v>
      </c>
      <c r="AC8" s="18" t="s">
        <v>123</v>
      </c>
      <c r="AD8" s="15">
        <f t="shared" si="0"/>
        <v>0.32315189318101489</v>
      </c>
      <c r="AE8" s="15">
        <f t="shared" si="1"/>
        <v>1.9417479634284918E-2</v>
      </c>
      <c r="AF8" s="15">
        <f>IF(OR(V8="",Seeds!$C$8=""),"",V8-Seeds!$C$8)</f>
        <v>0.25691231515556434</v>
      </c>
      <c r="AG8" s="15" t="str">
        <f>IF(OR(AF8="",Seeds!$C$10=""),"",IF(ABS(AF8)&gt;Seeds!$C$10,"Có","Không"))</f>
        <v>Không</v>
      </c>
    </row>
    <row r="9" spans="1:33" ht="37.5" x14ac:dyDescent="0.35">
      <c r="A9" s="13" t="s">
        <v>142</v>
      </c>
      <c r="B9" s="13" t="s">
        <v>46</v>
      </c>
      <c r="C9" s="18" t="s">
        <v>143</v>
      </c>
      <c r="D9" s="13" t="s">
        <v>116</v>
      </c>
      <c r="E9" s="13" t="s">
        <v>117</v>
      </c>
      <c r="F9" s="13">
        <v>0.1</v>
      </c>
      <c r="G9" s="13">
        <v>0</v>
      </c>
      <c r="H9" s="13">
        <v>512</v>
      </c>
      <c r="I9" s="13">
        <v>20</v>
      </c>
      <c r="J9" s="13" t="s">
        <v>118</v>
      </c>
      <c r="K9" s="13">
        <v>0.1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2.2690620422363281</v>
      </c>
      <c r="Q9" s="14">
        <v>0.25074136257171631</v>
      </c>
      <c r="R9" s="13">
        <v>20</v>
      </c>
      <c r="S9" s="14">
        <v>0.2420385330915451</v>
      </c>
      <c r="T9" s="14">
        <v>0.25074136257171631</v>
      </c>
      <c r="U9" s="14">
        <v>0.89824874679976763</v>
      </c>
      <c r="V9" s="14">
        <v>0.84176639543006171</v>
      </c>
      <c r="W9" s="13">
        <v>5.7497310850005308</v>
      </c>
      <c r="X9" s="13"/>
      <c r="Y9" s="13" t="b">
        <v>0</v>
      </c>
      <c r="Z9" s="14"/>
      <c r="AA9" s="14"/>
      <c r="AB9" s="18" t="s">
        <v>144</v>
      </c>
      <c r="AC9" s="18" t="s">
        <v>123</v>
      </c>
      <c r="AD9" s="15">
        <f t="shared" si="0"/>
        <v>0.32315189318101489</v>
      </c>
      <c r="AE9" s="15">
        <f t="shared" si="1"/>
        <v>8.7028294801712036E-3</v>
      </c>
      <c r="AF9" s="15">
        <f>IF(OR(V9="",Seeds!$C$8=""),"",V9-Seeds!$C$8)</f>
        <v>0.27092354917065098</v>
      </c>
      <c r="AG9" s="15" t="str">
        <f>IF(OR(AF9="",Seeds!$C$10=""),"",IF(ABS(AF9)&gt;Seeds!$C$10,"Có","Không"))</f>
        <v>Không</v>
      </c>
    </row>
    <row r="10" spans="1:33" ht="37.5" x14ac:dyDescent="0.35">
      <c r="A10" s="13" t="s">
        <v>145</v>
      </c>
      <c r="B10" s="13" t="s">
        <v>27</v>
      </c>
      <c r="C10" s="18" t="s">
        <v>146</v>
      </c>
      <c r="D10" s="13" t="s">
        <v>147</v>
      </c>
      <c r="E10" s="13" t="s">
        <v>117</v>
      </c>
      <c r="F10" s="13">
        <v>0.1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0.63585031032562256</v>
      </c>
      <c r="Q10" s="14">
        <v>2.9419375583529469E-2</v>
      </c>
      <c r="R10" s="13">
        <v>19</v>
      </c>
      <c r="S10" s="14">
        <v>2.8954304754734039E-2</v>
      </c>
      <c r="T10" s="14">
        <v>2.9633717611432079E-2</v>
      </c>
      <c r="U10" s="14">
        <v>0.87105483961188446</v>
      </c>
      <c r="V10" s="14">
        <v>0.73606645090531686</v>
      </c>
      <c r="W10" s="13">
        <v>3.1543368350001399</v>
      </c>
      <c r="X10" s="13"/>
      <c r="Y10" s="13" t="b">
        <v>0</v>
      </c>
      <c r="Z10" s="14"/>
      <c r="AA10" s="14"/>
      <c r="AB10" s="18" t="s">
        <v>148</v>
      </c>
      <c r="AC10" s="18" t="s">
        <v>123</v>
      </c>
      <c r="AD10" s="15">
        <f t="shared" si="0"/>
        <v>-1.3100598387296907</v>
      </c>
      <c r="AE10" s="15">
        <f t="shared" si="1"/>
        <v>6.7941285669803966E-4</v>
      </c>
      <c r="AF10" s="15">
        <f>IF(OR(V10="",Seeds!$C$8=""),"",V10-Seeds!$C$8)</f>
        <v>0.16522360464590613</v>
      </c>
      <c r="AG10" s="15" t="str">
        <f>IF(OR(AF10="",Seeds!$C$10=""),"",IF(ABS(AF10)&gt;Seeds!$C$10,"Có","Không"))</f>
        <v>Không</v>
      </c>
    </row>
    <row r="11" spans="1:33" ht="25" x14ac:dyDescent="0.35">
      <c r="A11" s="13" t="s">
        <v>149</v>
      </c>
      <c r="B11" s="13" t="s">
        <v>150</v>
      </c>
      <c r="C11" s="18" t="s">
        <v>151</v>
      </c>
      <c r="D11" s="13" t="s">
        <v>116</v>
      </c>
      <c r="E11" s="13" t="s">
        <v>117</v>
      </c>
      <c r="F11" s="13">
        <v>0.01</v>
      </c>
      <c r="G11" s="13">
        <v>0</v>
      </c>
      <c r="H11" s="13">
        <v>512</v>
      </c>
      <c r="I11" s="13">
        <v>3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2.2690620422363281</v>
      </c>
      <c r="Q11" s="14">
        <v>0.49523329734802252</v>
      </c>
      <c r="R11" s="13">
        <v>3</v>
      </c>
      <c r="S11" s="14">
        <v>0.49618461728096008</v>
      </c>
      <c r="T11" s="14">
        <v>0.49523329734802252</v>
      </c>
      <c r="U11" s="14">
        <v>0.79153847808782085</v>
      </c>
      <c r="V11" s="14">
        <v>0.59855804529730805</v>
      </c>
      <c r="W11" s="13">
        <v>3.6781872999999909</v>
      </c>
      <c r="X11" s="13"/>
      <c r="Y11" s="13" t="b">
        <v>0</v>
      </c>
      <c r="Z11" s="14"/>
      <c r="AA11" s="14"/>
      <c r="AB11" s="18" t="s">
        <v>152</v>
      </c>
      <c r="AC11" s="18" t="s">
        <v>123</v>
      </c>
      <c r="AD11" s="15">
        <f t="shared" si="0"/>
        <v>0.32315189318101489</v>
      </c>
      <c r="AE11" s="15">
        <f t="shared" si="1"/>
        <v>-9.5131993293756656E-4</v>
      </c>
      <c r="AF11" s="15">
        <f>IF(OR(V11="",Seeds!$C$8=""),"",V11-Seeds!$C$8)</f>
        <v>2.771519903789732E-2</v>
      </c>
      <c r="AG11" s="15" t="str">
        <f>IF(OR(AF11="",Seeds!$C$10=""),"",IF(ABS(AF11)&gt;Seeds!$C$10,"Có","Không"))</f>
        <v>Không</v>
      </c>
    </row>
    <row r="12" spans="1:33" ht="25" x14ac:dyDescent="0.35">
      <c r="A12" s="13" t="s">
        <v>153</v>
      </c>
      <c r="B12" s="13" t="s">
        <v>150</v>
      </c>
      <c r="C12" s="18" t="s">
        <v>151</v>
      </c>
      <c r="D12" s="13" t="s">
        <v>116</v>
      </c>
      <c r="E12" s="13" t="s">
        <v>117</v>
      </c>
      <c r="F12" s="13">
        <v>0.03</v>
      </c>
      <c r="G12" s="13">
        <v>0</v>
      </c>
      <c r="H12" s="13">
        <v>512</v>
      </c>
      <c r="I12" s="13">
        <v>3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2.2690620422363281</v>
      </c>
      <c r="Q12" s="14">
        <v>0.43256202340126038</v>
      </c>
      <c r="R12" s="13">
        <v>3</v>
      </c>
      <c r="S12" s="14">
        <v>0.43216362595558172</v>
      </c>
      <c r="T12" s="14">
        <v>0.43256202340126038</v>
      </c>
      <c r="U12" s="14">
        <v>0.81907661194896841</v>
      </c>
      <c r="V12" s="14">
        <v>0.64880433468961307</v>
      </c>
      <c r="W12" s="13">
        <v>3.1437728000018978</v>
      </c>
      <c r="X12" s="13"/>
      <c r="Y12" s="13" t="b">
        <v>0</v>
      </c>
      <c r="Z12" s="14"/>
      <c r="AA12" s="14"/>
      <c r="AB12" s="18" t="s">
        <v>154</v>
      </c>
      <c r="AC12" s="18" t="s">
        <v>123</v>
      </c>
      <c r="AD12" s="15">
        <f t="shared" si="0"/>
        <v>0.32315189318101489</v>
      </c>
      <c r="AE12" s="15">
        <f t="shared" si="1"/>
        <v>3.9839744567865543E-4</v>
      </c>
      <c r="AF12" s="15">
        <f>IF(OR(V12="",Seeds!$C$8=""),"",V12-Seeds!$C$8)</f>
        <v>7.7961488430202341E-2</v>
      </c>
      <c r="AG12" s="15" t="str">
        <f>IF(OR(AF12="",Seeds!$C$10=""),"",IF(ABS(AF12)&gt;Seeds!$C$10,"Có","Không"))</f>
        <v>Không</v>
      </c>
    </row>
    <row r="13" spans="1:33" ht="25" x14ac:dyDescent="0.35">
      <c r="A13" s="13" t="s">
        <v>155</v>
      </c>
      <c r="B13" s="13" t="s">
        <v>150</v>
      </c>
      <c r="C13" s="18" t="s">
        <v>151</v>
      </c>
      <c r="D13" s="13" t="s">
        <v>116</v>
      </c>
      <c r="E13" s="13" t="s">
        <v>117</v>
      </c>
      <c r="F13" s="13">
        <v>0.1</v>
      </c>
      <c r="G13" s="13">
        <v>0</v>
      </c>
      <c r="H13" s="13">
        <v>512</v>
      </c>
      <c r="I13" s="13">
        <v>3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2.2690620422363281</v>
      </c>
      <c r="Q13" s="14">
        <v>0.37760278582572943</v>
      </c>
      <c r="R13" s="13">
        <v>3</v>
      </c>
      <c r="S13" s="14">
        <v>0.37217062711715698</v>
      </c>
      <c r="T13" s="14">
        <v>0.37760278582572943</v>
      </c>
      <c r="U13" s="14">
        <v>0.84604462038252193</v>
      </c>
      <c r="V13" s="14">
        <v>0.70624721210864405</v>
      </c>
      <c r="W13" s="13">
        <v>3.3497177666674061</v>
      </c>
      <c r="X13" s="13"/>
      <c r="Y13" s="13" t="b">
        <v>0</v>
      </c>
      <c r="Z13" s="14"/>
      <c r="AA13" s="14"/>
      <c r="AB13" s="18" t="s">
        <v>156</v>
      </c>
      <c r="AC13" s="18" t="s">
        <v>123</v>
      </c>
      <c r="AD13" s="15">
        <f t="shared" si="0"/>
        <v>0.32315189318101489</v>
      </c>
      <c r="AE13" s="15">
        <f t="shared" si="1"/>
        <v>5.4321587085724432E-3</v>
      </c>
      <c r="AF13" s="15">
        <f>IF(OR(V13="",Seeds!$C$8=""),"",V13-Seeds!$C$8)</f>
        <v>0.13540436584923332</v>
      </c>
      <c r="AG13" s="15" t="str">
        <f>IF(OR(AF13="",Seeds!$C$10=""),"",IF(ABS(AF13)&gt;Seeds!$C$10,"Có","Không"))</f>
        <v>Không</v>
      </c>
    </row>
    <row r="14" spans="1:33" ht="25" x14ac:dyDescent="0.35">
      <c r="A14" s="13" t="s">
        <v>157</v>
      </c>
      <c r="B14" s="13" t="s">
        <v>29</v>
      </c>
      <c r="C14" s="18" t="s">
        <v>158</v>
      </c>
      <c r="D14" s="13" t="s">
        <v>116</v>
      </c>
      <c r="E14" s="13" t="s">
        <v>159</v>
      </c>
      <c r="F14" s="13">
        <v>1E-3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2.2690620422363281</v>
      </c>
      <c r="Q14" s="14">
        <v>0.24540506303310389</v>
      </c>
      <c r="R14" s="13">
        <v>18</v>
      </c>
      <c r="S14" s="14">
        <v>0.22919519245624539</v>
      </c>
      <c r="T14" s="14">
        <v>0.2495401352643967</v>
      </c>
      <c r="U14" s="14">
        <v>0.9016910135324111</v>
      </c>
      <c r="V14" s="14">
        <v>0.84585278829961286</v>
      </c>
      <c r="W14" s="13">
        <v>4.0324601949992944</v>
      </c>
      <c r="X14" s="13"/>
      <c r="Y14" s="13" t="b">
        <v>0</v>
      </c>
      <c r="Z14" s="14"/>
      <c r="AA14" s="14"/>
      <c r="AB14" s="18" t="s">
        <v>160</v>
      </c>
      <c r="AC14" s="18" t="s">
        <v>123</v>
      </c>
      <c r="AD14" s="15">
        <f t="shared" si="0"/>
        <v>0.32315189318101489</v>
      </c>
      <c r="AE14" s="15">
        <f t="shared" si="1"/>
        <v>2.0344942808151301E-2</v>
      </c>
      <c r="AF14" s="15">
        <f>IF(OR(V14="",Seeds!$C$8=""),"",V14-Seeds!$C$8)</f>
        <v>0.27500994204020213</v>
      </c>
      <c r="AG14" s="15" t="str">
        <f>IF(OR(AF14="",Seeds!$C$10=""),"",IF(ABS(AF14)&gt;Seeds!$C$10,"Có","Không"))</f>
        <v>Không</v>
      </c>
    </row>
    <row r="15" spans="1:33" ht="25" x14ac:dyDescent="0.35">
      <c r="A15" s="13" t="s">
        <v>161</v>
      </c>
      <c r="B15" s="13" t="s">
        <v>29</v>
      </c>
      <c r="C15" s="18" t="s">
        <v>162</v>
      </c>
      <c r="D15" s="13" t="s">
        <v>116</v>
      </c>
      <c r="E15" s="13" t="s">
        <v>159</v>
      </c>
      <c r="F15" s="13">
        <v>3.0000000000000001E-3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2.2690620422363281</v>
      </c>
      <c r="Q15" s="14">
        <v>0.2106221467256546</v>
      </c>
      <c r="R15" s="13">
        <v>20</v>
      </c>
      <c r="S15" s="14">
        <v>0.1844945698976517</v>
      </c>
      <c r="T15" s="14">
        <v>0.2106221467256546</v>
      </c>
      <c r="U15" s="14">
        <v>0.91596566338934193</v>
      </c>
      <c r="V15" s="14">
        <v>0.87403481732627952</v>
      </c>
      <c r="W15" s="13">
        <v>4.1069464300002441</v>
      </c>
      <c r="X15" s="13"/>
      <c r="Y15" s="13" t="b">
        <v>0</v>
      </c>
      <c r="Z15" s="14"/>
      <c r="AA15" s="14"/>
      <c r="AB15" s="18" t="s">
        <v>163</v>
      </c>
      <c r="AC15" s="18" t="s">
        <v>123</v>
      </c>
      <c r="AD15" s="15">
        <f t="shared" si="0"/>
        <v>0.32315189318101489</v>
      </c>
      <c r="AE15" s="15">
        <f t="shared" si="1"/>
        <v>2.6127576828002902E-2</v>
      </c>
      <c r="AF15" s="15">
        <f>IF(OR(V15="",Seeds!$C$8=""),"",V15-Seeds!$C$8)</f>
        <v>0.30319197106686879</v>
      </c>
      <c r="AG15" s="15" t="str">
        <f>IF(OR(AF15="",Seeds!$C$10=""),"",IF(ABS(AF15)&gt;Seeds!$C$10,"Có","Không"))</f>
        <v>Không</v>
      </c>
    </row>
    <row r="16" spans="1:33" ht="25" x14ac:dyDescent="0.35">
      <c r="A16" s="13" t="s">
        <v>164</v>
      </c>
      <c r="B16" s="13" t="s">
        <v>29</v>
      </c>
      <c r="C16" s="18" t="s">
        <v>165</v>
      </c>
      <c r="D16" s="13" t="s">
        <v>116</v>
      </c>
      <c r="E16" s="13" t="s">
        <v>117</v>
      </c>
      <c r="F16" s="13">
        <v>0.03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2.2690620422363281</v>
      </c>
      <c r="Q16" s="14">
        <v>0.25942179560661321</v>
      </c>
      <c r="R16" s="13">
        <v>20</v>
      </c>
      <c r="S16" s="14">
        <v>0.24500097334384921</v>
      </c>
      <c r="T16" s="14">
        <v>0.25942179560661321</v>
      </c>
      <c r="U16" s="14">
        <v>0.89607581592478647</v>
      </c>
      <c r="V16" s="14">
        <v>0.82642731454689089</v>
      </c>
      <c r="W16" s="13">
        <v>3.512837054999181</v>
      </c>
      <c r="X16" s="13"/>
      <c r="Y16" s="13" t="b">
        <v>0</v>
      </c>
      <c r="Z16" s="14"/>
      <c r="AA16" s="14"/>
      <c r="AB16" s="18" t="s">
        <v>166</v>
      </c>
      <c r="AC16" s="18" t="s">
        <v>123</v>
      </c>
      <c r="AD16" s="15">
        <f t="shared" si="0"/>
        <v>0.32315189318101489</v>
      </c>
      <c r="AE16" s="15">
        <f t="shared" si="1"/>
        <v>1.4420822262764005E-2</v>
      </c>
      <c r="AF16" s="15">
        <f>IF(OR(V16="",Seeds!$C$8=""),"",V16-Seeds!$C$8)</f>
        <v>0.25558446828748016</v>
      </c>
      <c r="AG16" s="15" t="str">
        <f>IF(OR(AF16="",Seeds!$C$10=""),"",IF(ABS(AF16)&gt;Seeds!$C$10,"Có","Không"))</f>
        <v>Không</v>
      </c>
    </row>
    <row r="17" spans="1:33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3"/>
      <c r="S17" s="14"/>
      <c r="T17" s="14"/>
      <c r="U17" s="14"/>
      <c r="V17" s="14"/>
      <c r="W17" s="13"/>
      <c r="X17" s="13"/>
      <c r="Y17" s="13"/>
      <c r="Z17" s="14"/>
      <c r="AA17" s="14"/>
      <c r="AB17" s="13"/>
      <c r="AC17" s="13"/>
      <c r="AD17" s="15" t="str">
        <f t="shared" si="0"/>
        <v/>
      </c>
      <c r="AE17" s="15" t="str">
        <f t="shared" si="1"/>
        <v/>
      </c>
      <c r="AF17" s="15" t="str">
        <f>IF(OR(V17="",Seeds!$C$8=""),"",V17-Seeds!$C$8)</f>
        <v/>
      </c>
      <c r="AG17" s="15" t="str">
        <f>IF(OR(AF17="",Seeds!$C$10=""),"",IF(ABS(AF17)&gt;Seeds!$C$10,"Có","Không"))</f>
        <v/>
      </c>
    </row>
    <row r="18" spans="1:33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3"/>
      <c r="S18" s="14"/>
      <c r="T18" s="14"/>
      <c r="U18" s="14"/>
      <c r="V18" s="14"/>
      <c r="W18" s="13"/>
      <c r="X18" s="13"/>
      <c r="Y18" s="13"/>
      <c r="Z18" s="14"/>
      <c r="AA18" s="14"/>
      <c r="AB18" s="13"/>
      <c r="AC18" s="13"/>
      <c r="AD18" s="15" t="str">
        <f t="shared" si="0"/>
        <v/>
      </c>
      <c r="AE18" s="15" t="str">
        <f t="shared" si="1"/>
        <v/>
      </c>
      <c r="AF18" s="15" t="str">
        <f>IF(OR(V18="",Seeds!$C$8=""),"",V18-Seeds!$C$8)</f>
        <v/>
      </c>
      <c r="AG18" s="15" t="str">
        <f>IF(OR(AF18="",Seeds!$C$10=""),"",IF(ABS(AF18)&gt;Seeds!$C$10,"Có","Không"))</f>
        <v/>
      </c>
    </row>
    <row r="19" spans="1:33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  <c r="Q19" s="14"/>
      <c r="R19" s="13"/>
      <c r="S19" s="14"/>
      <c r="T19" s="14"/>
      <c r="U19" s="14"/>
      <c r="V19" s="14"/>
      <c r="W19" s="13"/>
      <c r="X19" s="13"/>
      <c r="Y19" s="13"/>
      <c r="Z19" s="14"/>
      <c r="AA19" s="14"/>
      <c r="AB19" s="13"/>
      <c r="AC19" s="13"/>
      <c r="AD19" s="15" t="str">
        <f t="shared" si="0"/>
        <v/>
      </c>
      <c r="AE19" s="15" t="str">
        <f t="shared" si="1"/>
        <v/>
      </c>
      <c r="AF19" s="15" t="str">
        <f>IF(OR(V19="",Seeds!$C$8=""),"",V19-Seeds!$C$8)</f>
        <v/>
      </c>
      <c r="AG19" s="15" t="str">
        <f>IF(OR(AF19="",Seeds!$C$10=""),"",IF(ABS(AF19)&gt;Seeds!$C$10,"Có","Không"))</f>
        <v/>
      </c>
    </row>
    <row r="20" spans="1:33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4"/>
      <c r="R20" s="13"/>
      <c r="S20" s="14"/>
      <c r="T20" s="14"/>
      <c r="U20" s="14"/>
      <c r="V20" s="14"/>
      <c r="W20" s="13"/>
      <c r="X20" s="13"/>
      <c r="Y20" s="13"/>
      <c r="Z20" s="14"/>
      <c r="AA20" s="14"/>
      <c r="AB20" s="13"/>
      <c r="AC20" s="13"/>
      <c r="AD20" s="15" t="str">
        <f t="shared" si="0"/>
        <v/>
      </c>
      <c r="AE20" s="15" t="str">
        <f t="shared" si="1"/>
        <v/>
      </c>
      <c r="AF20" s="15" t="str">
        <f>IF(OR(V20="",Seeds!$C$8=""),"",V20-Seeds!$C$8)</f>
        <v/>
      </c>
      <c r="AG20" s="15" t="str">
        <f>IF(OR(AF20="",Seeds!$C$10=""),"",IF(ABS(AF20)&gt;Seeds!$C$10,"Có","Không"))</f>
        <v/>
      </c>
    </row>
    <row r="21" spans="1:33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4"/>
      <c r="R21" s="13"/>
      <c r="S21" s="14"/>
      <c r="T21" s="14"/>
      <c r="U21" s="14"/>
      <c r="V21" s="14"/>
      <c r="W21" s="13"/>
      <c r="X21" s="13"/>
      <c r="Y21" s="13"/>
      <c r="Z21" s="14"/>
      <c r="AA21" s="14"/>
      <c r="AB21" s="13"/>
      <c r="AC21" s="13"/>
      <c r="AD21" s="15" t="str">
        <f t="shared" si="0"/>
        <v/>
      </c>
      <c r="AE21" s="15" t="str">
        <f t="shared" si="1"/>
        <v/>
      </c>
      <c r="AF21" s="15" t="str">
        <f>IF(OR(V21="",Seeds!$C$8=""),"",V21-Seeds!$C$8)</f>
        <v/>
      </c>
      <c r="AG21" s="15" t="str">
        <f>IF(OR(AF21="",Seeds!$C$10=""),"",IF(ABS(AF21)&gt;Seeds!$C$10,"Có","Không"))</f>
        <v/>
      </c>
    </row>
    <row r="22" spans="1:33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4"/>
      <c r="R22" s="13"/>
      <c r="S22" s="14"/>
      <c r="T22" s="14"/>
      <c r="U22" s="14"/>
      <c r="V22" s="14"/>
      <c r="W22" s="13"/>
      <c r="X22" s="13"/>
      <c r="Y22" s="13"/>
      <c r="Z22" s="14"/>
      <c r="AA22" s="14"/>
      <c r="AB22" s="13"/>
      <c r="AC22" s="13"/>
      <c r="AD22" s="15" t="str">
        <f t="shared" si="0"/>
        <v/>
      </c>
      <c r="AE22" s="15" t="str">
        <f t="shared" si="1"/>
        <v/>
      </c>
      <c r="AF22" s="15" t="str">
        <f>IF(OR(V22="",Seeds!$C$8=""),"",V22-Seeds!$C$8)</f>
        <v/>
      </c>
      <c r="AG22" s="15" t="str">
        <f>IF(OR(AF22="",Seeds!$C$10=""),"",IF(ABS(AF22)&gt;Seeds!$C$10,"Có","Không"))</f>
        <v/>
      </c>
    </row>
    <row r="23" spans="1:33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4"/>
      <c r="R23" s="13"/>
      <c r="S23" s="14"/>
      <c r="T23" s="14"/>
      <c r="U23" s="14"/>
      <c r="V23" s="14"/>
      <c r="W23" s="13"/>
      <c r="X23" s="13"/>
      <c r="Y23" s="13"/>
      <c r="Z23" s="14"/>
      <c r="AA23" s="14"/>
      <c r="AB23" s="13"/>
      <c r="AC23" s="13"/>
      <c r="AD23" s="15" t="str">
        <f t="shared" si="0"/>
        <v/>
      </c>
      <c r="AE23" s="15" t="str">
        <f t="shared" si="1"/>
        <v/>
      </c>
      <c r="AF23" s="15" t="str">
        <f>IF(OR(V23="",Seeds!$C$8=""),"",V23-Seeds!$C$8)</f>
        <v/>
      </c>
      <c r="AG23" s="15" t="str">
        <f>IF(OR(AF23="",Seeds!$C$10=""),"",IF(ABS(AF23)&gt;Seeds!$C$10,"Có","Không"))</f>
        <v/>
      </c>
    </row>
    <row r="24" spans="1:33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4"/>
      <c r="R24" s="13"/>
      <c r="S24" s="14"/>
      <c r="T24" s="14"/>
      <c r="U24" s="14"/>
      <c r="V24" s="14"/>
      <c r="W24" s="13"/>
      <c r="X24" s="13"/>
      <c r="Y24" s="13"/>
      <c r="Z24" s="14"/>
      <c r="AA24" s="14"/>
      <c r="AB24" s="13"/>
      <c r="AC24" s="13"/>
      <c r="AD24" s="15" t="str">
        <f t="shared" si="0"/>
        <v/>
      </c>
      <c r="AE24" s="15" t="str">
        <f t="shared" si="1"/>
        <v/>
      </c>
      <c r="AF24" s="15" t="str">
        <f>IF(OR(V24="",Seeds!$C$8=""),"",V24-Seeds!$C$8)</f>
        <v/>
      </c>
      <c r="AG24" s="15" t="str">
        <f>IF(OR(AF24="",Seeds!$C$10=""),"",IF(ABS(AF24)&gt;Seeds!$C$10,"Có","Không"))</f>
        <v/>
      </c>
    </row>
    <row r="25" spans="1:33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4"/>
      <c r="R25" s="13"/>
      <c r="S25" s="14"/>
      <c r="T25" s="14"/>
      <c r="U25" s="14"/>
      <c r="V25" s="14"/>
      <c r="W25" s="13"/>
      <c r="X25" s="13"/>
      <c r="Y25" s="13"/>
      <c r="Z25" s="14"/>
      <c r="AA25" s="14"/>
      <c r="AB25" s="13"/>
      <c r="AC25" s="13"/>
      <c r="AD25" s="15" t="str">
        <f t="shared" si="0"/>
        <v/>
      </c>
      <c r="AE25" s="15" t="str">
        <f t="shared" si="1"/>
        <v/>
      </c>
      <c r="AF25" s="15" t="str">
        <f>IF(OR(V25="",Seeds!$C$8=""),"",V25-Seeds!$C$8)</f>
        <v/>
      </c>
      <c r="AG25" s="15" t="str">
        <f>IF(OR(AF25="",Seeds!$C$10=""),"",IF(ABS(AF25)&gt;Seeds!$C$10,"Có","Không"))</f>
        <v/>
      </c>
    </row>
    <row r="26" spans="1:33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4"/>
      <c r="R26" s="13"/>
      <c r="S26" s="14"/>
      <c r="T26" s="14"/>
      <c r="U26" s="14"/>
      <c r="V26" s="14"/>
      <c r="W26" s="13"/>
      <c r="X26" s="13"/>
      <c r="Y26" s="13"/>
      <c r="Z26" s="14"/>
      <c r="AA26" s="14"/>
      <c r="AB26" s="13"/>
      <c r="AC26" s="13"/>
      <c r="AD26" s="15" t="str">
        <f t="shared" si="0"/>
        <v/>
      </c>
      <c r="AE26" s="15" t="str">
        <f t="shared" si="1"/>
        <v/>
      </c>
      <c r="AF26" s="15" t="str">
        <f>IF(OR(V26="",Seeds!$C$8=""),"",V26-Seeds!$C$8)</f>
        <v/>
      </c>
      <c r="AG26" s="15" t="str">
        <f>IF(OR(AF26="",Seeds!$C$10=""),"",IF(ABS(AF26)&gt;Seeds!$C$10,"Có","Không"))</f>
        <v/>
      </c>
    </row>
    <row r="27" spans="1:33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4"/>
      <c r="R27" s="13"/>
      <c r="S27" s="14"/>
      <c r="T27" s="14"/>
      <c r="U27" s="14"/>
      <c r="V27" s="14"/>
      <c r="W27" s="13"/>
      <c r="X27" s="13"/>
      <c r="Y27" s="13"/>
      <c r="Z27" s="14"/>
      <c r="AA27" s="14"/>
      <c r="AB27" s="13"/>
      <c r="AC27" s="13"/>
      <c r="AD27" s="15" t="str">
        <f t="shared" si="0"/>
        <v/>
      </c>
      <c r="AE27" s="15" t="str">
        <f t="shared" si="1"/>
        <v/>
      </c>
      <c r="AF27" s="15" t="str">
        <f>IF(OR(V27="",Seeds!$C$8=""),"",V27-Seeds!$C$8)</f>
        <v/>
      </c>
      <c r="AG27" s="15" t="str">
        <f>IF(OR(AF27="",Seeds!$C$10=""),"",IF(ABS(AF27)&gt;Seeds!$C$10,"Có","Không"))</f>
        <v/>
      </c>
    </row>
    <row r="28" spans="1:33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14"/>
      <c r="R28" s="13"/>
      <c r="S28" s="14"/>
      <c r="T28" s="14"/>
      <c r="U28" s="14"/>
      <c r="V28" s="14"/>
      <c r="W28" s="13"/>
      <c r="X28" s="13"/>
      <c r="Y28" s="13"/>
      <c r="Z28" s="14"/>
      <c r="AA28" s="14"/>
      <c r="AB28" s="13"/>
      <c r="AC28" s="13"/>
      <c r="AD28" s="15" t="str">
        <f t="shared" si="0"/>
        <v/>
      </c>
      <c r="AE28" s="15" t="str">
        <f t="shared" si="1"/>
        <v/>
      </c>
      <c r="AF28" s="15" t="str">
        <f>IF(OR(V28="",Seeds!$C$8=""),"",V28-Seeds!$C$8)</f>
        <v/>
      </c>
      <c r="AG28" s="15" t="str">
        <f>IF(OR(AF28="",Seeds!$C$10=""),"",IF(ABS(AF28)&gt;Seeds!$C$10,"Có","Không"))</f>
        <v/>
      </c>
    </row>
    <row r="29" spans="1:33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14"/>
      <c r="R29" s="13"/>
      <c r="S29" s="14"/>
      <c r="T29" s="14"/>
      <c r="U29" s="14"/>
      <c r="V29" s="14"/>
      <c r="W29" s="13"/>
      <c r="X29" s="13"/>
      <c r="Y29" s="13"/>
      <c r="Z29" s="14"/>
      <c r="AA29" s="14"/>
      <c r="AB29" s="13"/>
      <c r="AC29" s="13"/>
      <c r="AD29" s="15" t="str">
        <f t="shared" si="0"/>
        <v/>
      </c>
      <c r="AE29" s="15" t="str">
        <f t="shared" si="1"/>
        <v/>
      </c>
      <c r="AF29" s="15" t="str">
        <f>IF(OR(V29="",Seeds!$C$8=""),"",V29-Seeds!$C$8)</f>
        <v/>
      </c>
      <c r="AG29" s="15" t="str">
        <f>IF(OR(AF29="",Seeds!$C$10=""),"",IF(ABS(AF29)&gt;Seeds!$C$10,"Có","Không"))</f>
        <v/>
      </c>
    </row>
    <row r="30" spans="1:33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4"/>
      <c r="Q30" s="14"/>
      <c r="R30" s="13"/>
      <c r="S30" s="14"/>
      <c r="T30" s="14"/>
      <c r="U30" s="14"/>
      <c r="V30" s="14"/>
      <c r="W30" s="13"/>
      <c r="X30" s="13"/>
      <c r="Y30" s="13"/>
      <c r="Z30" s="14"/>
      <c r="AA30" s="14"/>
      <c r="AB30" s="13"/>
      <c r="AC30" s="13"/>
      <c r="AD30" s="15" t="str">
        <f t="shared" si="0"/>
        <v/>
      </c>
      <c r="AE30" s="15" t="str">
        <f t="shared" si="1"/>
        <v/>
      </c>
      <c r="AF30" s="15" t="str">
        <f>IF(OR(V30="",Seeds!$C$8=""),"",V30-Seeds!$C$8)</f>
        <v/>
      </c>
      <c r="AG30" s="15" t="str">
        <f>IF(OR(AF30="",Seeds!$C$10=""),"",IF(ABS(AF30)&gt;Seeds!$C$10,"Có","Không"))</f>
        <v/>
      </c>
    </row>
    <row r="31" spans="1:33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  <c r="Q31" s="14"/>
      <c r="R31" s="13"/>
      <c r="S31" s="14"/>
      <c r="T31" s="14"/>
      <c r="U31" s="14"/>
      <c r="V31" s="14"/>
      <c r="W31" s="13"/>
      <c r="X31" s="13"/>
      <c r="Y31" s="13"/>
      <c r="Z31" s="14"/>
      <c r="AA31" s="14"/>
      <c r="AB31" s="13"/>
      <c r="AC31" s="13"/>
      <c r="AD31" s="15" t="str">
        <f t="shared" si="0"/>
        <v/>
      </c>
      <c r="AE31" s="15" t="str">
        <f t="shared" si="1"/>
        <v/>
      </c>
      <c r="AF31" s="15" t="str">
        <f>IF(OR(V31="",Seeds!$C$8=""),"",V31-Seeds!$C$8)</f>
        <v/>
      </c>
      <c r="AG31" s="15" t="str">
        <f>IF(OR(AF31="",Seeds!$C$10=""),"",IF(ABS(AF31)&gt;Seeds!$C$10,"Có","Không"))</f>
        <v/>
      </c>
    </row>
    <row r="32" spans="1:33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4"/>
      <c r="Q32" s="14"/>
      <c r="R32" s="13"/>
      <c r="S32" s="14"/>
      <c r="T32" s="14"/>
      <c r="U32" s="14"/>
      <c r="V32" s="14"/>
      <c r="W32" s="13"/>
      <c r="X32" s="13"/>
      <c r="Y32" s="13"/>
      <c r="Z32" s="14"/>
      <c r="AA32" s="14"/>
      <c r="AB32" s="13"/>
      <c r="AC32" s="13"/>
      <c r="AD32" s="15" t="str">
        <f t="shared" si="0"/>
        <v/>
      </c>
      <c r="AE32" s="15" t="str">
        <f t="shared" si="1"/>
        <v/>
      </c>
      <c r="AF32" s="15" t="str">
        <f>IF(OR(V32="",Seeds!$C$8=""),"",V32-Seeds!$C$8)</f>
        <v/>
      </c>
      <c r="AG32" s="15" t="str">
        <f>IF(OR(AF32="",Seeds!$C$10=""),"",IF(ABS(AF32)&gt;Seeds!$C$10,"Có","Không"))</f>
        <v/>
      </c>
    </row>
    <row r="33" spans="1:33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/>
      <c r="Q33" s="14"/>
      <c r="R33" s="13"/>
      <c r="S33" s="14"/>
      <c r="T33" s="14"/>
      <c r="U33" s="14"/>
      <c r="V33" s="14"/>
      <c r="W33" s="13"/>
      <c r="X33" s="13"/>
      <c r="Y33" s="13"/>
      <c r="Z33" s="14"/>
      <c r="AA33" s="14"/>
      <c r="AB33" s="13"/>
      <c r="AC33" s="13"/>
      <c r="AD33" s="15" t="str">
        <f t="shared" si="0"/>
        <v/>
      </c>
      <c r="AE33" s="15" t="str">
        <f t="shared" si="1"/>
        <v/>
      </c>
      <c r="AF33" s="15" t="str">
        <f>IF(OR(V33="",Seeds!$C$8=""),"",V33-Seeds!$C$8)</f>
        <v/>
      </c>
      <c r="AG33" s="15" t="str">
        <f>IF(OR(AF33="",Seeds!$C$10=""),"",IF(ABS(AF33)&gt;Seeds!$C$10,"Có","Không"))</f>
        <v/>
      </c>
    </row>
    <row r="34" spans="1:33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/>
      <c r="Q34" s="14"/>
      <c r="R34" s="13"/>
      <c r="S34" s="14"/>
      <c r="T34" s="14"/>
      <c r="U34" s="14"/>
      <c r="V34" s="14"/>
      <c r="W34" s="13"/>
      <c r="X34" s="13"/>
      <c r="Y34" s="13"/>
      <c r="Z34" s="14"/>
      <c r="AA34" s="14"/>
      <c r="AB34" s="13"/>
      <c r="AC34" s="13"/>
      <c r="AD34" s="15" t="str">
        <f t="shared" ref="AD34:AD61" si="2">IF(P34="","",P34-LN(7))</f>
        <v/>
      </c>
      <c r="AE34" s="15" t="str">
        <f t="shared" ref="AE34:AE61" si="3">IF(OR(T34="",S34=""),"",T34-S34)</f>
        <v/>
      </c>
      <c r="AF34" s="15" t="str">
        <f>IF(OR(V34="",Seeds!$C$8=""),"",V34-Seeds!$C$8)</f>
        <v/>
      </c>
      <c r="AG34" s="15" t="str">
        <f>IF(OR(AF34="",Seeds!$C$10=""),"",IF(ABS(AF34)&gt;Seeds!$C$10,"Có","Không"))</f>
        <v/>
      </c>
    </row>
    <row r="35" spans="1:33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/>
      <c r="Q35" s="14"/>
      <c r="R35" s="13"/>
      <c r="S35" s="14"/>
      <c r="T35" s="14"/>
      <c r="U35" s="14"/>
      <c r="V35" s="14"/>
      <c r="W35" s="13"/>
      <c r="X35" s="13"/>
      <c r="Y35" s="13"/>
      <c r="Z35" s="14"/>
      <c r="AA35" s="14"/>
      <c r="AB35" s="13"/>
      <c r="AC35" s="13"/>
      <c r="AD35" s="15" t="str">
        <f t="shared" si="2"/>
        <v/>
      </c>
      <c r="AE35" s="15" t="str">
        <f t="shared" si="3"/>
        <v/>
      </c>
      <c r="AF35" s="15" t="str">
        <f>IF(OR(V35="",Seeds!$C$8=""),"",V35-Seeds!$C$8)</f>
        <v/>
      </c>
      <c r="AG35" s="15" t="str">
        <f>IF(OR(AF35="",Seeds!$C$10=""),"",IF(ABS(AF35)&gt;Seeds!$C$10,"Có","Không"))</f>
        <v/>
      </c>
    </row>
    <row r="36" spans="1:33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/>
      <c r="Q36" s="14"/>
      <c r="R36" s="13"/>
      <c r="S36" s="14"/>
      <c r="T36" s="14"/>
      <c r="U36" s="14"/>
      <c r="V36" s="14"/>
      <c r="W36" s="13"/>
      <c r="X36" s="13"/>
      <c r="Y36" s="13"/>
      <c r="Z36" s="14"/>
      <c r="AA36" s="14"/>
      <c r="AB36" s="13"/>
      <c r="AC36" s="13"/>
      <c r="AD36" s="15" t="str">
        <f t="shared" si="2"/>
        <v/>
      </c>
      <c r="AE36" s="15" t="str">
        <f t="shared" si="3"/>
        <v/>
      </c>
      <c r="AF36" s="15" t="str">
        <f>IF(OR(V36="",Seeds!$C$8=""),"",V36-Seeds!$C$8)</f>
        <v/>
      </c>
      <c r="AG36" s="15" t="str">
        <f>IF(OR(AF36="",Seeds!$C$10=""),"",IF(ABS(AF36)&gt;Seeds!$C$10,"Có","Không"))</f>
        <v/>
      </c>
    </row>
    <row r="37" spans="1:33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4"/>
      <c r="R37" s="13"/>
      <c r="S37" s="14"/>
      <c r="T37" s="14"/>
      <c r="U37" s="14"/>
      <c r="V37" s="14"/>
      <c r="W37" s="13"/>
      <c r="X37" s="13"/>
      <c r="Y37" s="13"/>
      <c r="Z37" s="14"/>
      <c r="AA37" s="14"/>
      <c r="AB37" s="13"/>
      <c r="AC37" s="13"/>
      <c r="AD37" s="15" t="str">
        <f t="shared" si="2"/>
        <v/>
      </c>
      <c r="AE37" s="15" t="str">
        <f t="shared" si="3"/>
        <v/>
      </c>
      <c r="AF37" s="15" t="str">
        <f>IF(OR(V37="",Seeds!$C$8=""),"",V37-Seeds!$C$8)</f>
        <v/>
      </c>
      <c r="AG37" s="15" t="str">
        <f>IF(OR(AF37="",Seeds!$C$10=""),"",IF(ABS(AF37)&gt;Seeds!$C$10,"Có","Không"))</f>
        <v/>
      </c>
    </row>
    <row r="38" spans="1:33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4"/>
      <c r="Q38" s="14"/>
      <c r="R38" s="13"/>
      <c r="S38" s="14"/>
      <c r="T38" s="14"/>
      <c r="U38" s="14"/>
      <c r="V38" s="14"/>
      <c r="W38" s="13"/>
      <c r="X38" s="13"/>
      <c r="Y38" s="13"/>
      <c r="Z38" s="14"/>
      <c r="AA38" s="14"/>
      <c r="AB38" s="13"/>
      <c r="AC38" s="13"/>
      <c r="AD38" s="15" t="str">
        <f t="shared" si="2"/>
        <v/>
      </c>
      <c r="AE38" s="15" t="str">
        <f t="shared" si="3"/>
        <v/>
      </c>
      <c r="AF38" s="15" t="str">
        <f>IF(OR(V38="",Seeds!$C$8=""),"",V38-Seeds!$C$8)</f>
        <v/>
      </c>
      <c r="AG38" s="15" t="str">
        <f>IF(OR(AF38="",Seeds!$C$10=""),"",IF(ABS(AF38)&gt;Seeds!$C$10,"Có","Không"))</f>
        <v/>
      </c>
    </row>
    <row r="39" spans="1:33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4"/>
      <c r="Q39" s="14"/>
      <c r="R39" s="13"/>
      <c r="S39" s="14"/>
      <c r="T39" s="14"/>
      <c r="U39" s="14"/>
      <c r="V39" s="14"/>
      <c r="W39" s="13"/>
      <c r="X39" s="13"/>
      <c r="Y39" s="13"/>
      <c r="Z39" s="14"/>
      <c r="AA39" s="14"/>
      <c r="AB39" s="13"/>
      <c r="AC39" s="13"/>
      <c r="AD39" s="15" t="str">
        <f t="shared" si="2"/>
        <v/>
      </c>
      <c r="AE39" s="15" t="str">
        <f t="shared" si="3"/>
        <v/>
      </c>
      <c r="AF39" s="15" t="str">
        <f>IF(OR(V39="",Seeds!$C$8=""),"",V39-Seeds!$C$8)</f>
        <v/>
      </c>
      <c r="AG39" s="15" t="str">
        <f>IF(OR(AF39="",Seeds!$C$10=""),"",IF(ABS(AF39)&gt;Seeds!$C$10,"Có","Không"))</f>
        <v/>
      </c>
    </row>
    <row r="40" spans="1:33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4"/>
      <c r="Q40" s="14"/>
      <c r="R40" s="13"/>
      <c r="S40" s="14"/>
      <c r="T40" s="14"/>
      <c r="U40" s="14"/>
      <c r="V40" s="14"/>
      <c r="W40" s="13"/>
      <c r="X40" s="13"/>
      <c r="Y40" s="13"/>
      <c r="Z40" s="14"/>
      <c r="AA40" s="14"/>
      <c r="AB40" s="13"/>
      <c r="AC40" s="13"/>
      <c r="AD40" s="15" t="str">
        <f t="shared" si="2"/>
        <v/>
      </c>
      <c r="AE40" s="15" t="str">
        <f t="shared" si="3"/>
        <v/>
      </c>
      <c r="AF40" s="15" t="str">
        <f>IF(OR(V40="",Seeds!$C$8=""),"",V40-Seeds!$C$8)</f>
        <v/>
      </c>
      <c r="AG40" s="15" t="str">
        <f>IF(OR(AF40="",Seeds!$C$10=""),"",IF(ABS(AF40)&gt;Seeds!$C$10,"Có","Không"))</f>
        <v/>
      </c>
    </row>
    <row r="41" spans="1:33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4"/>
      <c r="Q41" s="14"/>
      <c r="R41" s="13"/>
      <c r="S41" s="14"/>
      <c r="T41" s="14"/>
      <c r="U41" s="14"/>
      <c r="V41" s="14"/>
      <c r="W41" s="13"/>
      <c r="X41" s="13"/>
      <c r="Y41" s="13"/>
      <c r="Z41" s="14"/>
      <c r="AA41" s="14"/>
      <c r="AB41" s="13"/>
      <c r="AC41" s="13"/>
      <c r="AD41" s="15" t="str">
        <f t="shared" si="2"/>
        <v/>
      </c>
      <c r="AE41" s="15" t="str">
        <f t="shared" si="3"/>
        <v/>
      </c>
      <c r="AF41" s="15" t="str">
        <f>IF(OR(V41="",Seeds!$C$8=""),"",V41-Seeds!$C$8)</f>
        <v/>
      </c>
      <c r="AG41" s="15" t="str">
        <f>IF(OR(AF41="",Seeds!$C$10=""),"",IF(ABS(AF41)&gt;Seeds!$C$10,"Có","Không"))</f>
        <v/>
      </c>
    </row>
    <row r="42" spans="1:33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4"/>
      <c r="Q42" s="14"/>
      <c r="R42" s="13"/>
      <c r="S42" s="14"/>
      <c r="T42" s="14"/>
      <c r="U42" s="14"/>
      <c r="V42" s="14"/>
      <c r="W42" s="13"/>
      <c r="X42" s="13"/>
      <c r="Y42" s="13"/>
      <c r="Z42" s="14"/>
      <c r="AA42" s="14"/>
      <c r="AB42" s="13"/>
      <c r="AC42" s="13"/>
      <c r="AD42" s="15" t="str">
        <f t="shared" si="2"/>
        <v/>
      </c>
      <c r="AE42" s="15" t="str">
        <f t="shared" si="3"/>
        <v/>
      </c>
      <c r="AF42" s="15" t="str">
        <f>IF(OR(V42="",Seeds!$C$8=""),"",V42-Seeds!$C$8)</f>
        <v/>
      </c>
      <c r="AG42" s="15" t="str">
        <f>IF(OR(AF42="",Seeds!$C$10=""),"",IF(ABS(AF42)&gt;Seeds!$C$10,"Có","Không"))</f>
        <v/>
      </c>
    </row>
    <row r="43" spans="1:33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  <c r="Q43" s="14"/>
      <c r="R43" s="13"/>
      <c r="S43" s="14"/>
      <c r="T43" s="14"/>
      <c r="U43" s="14"/>
      <c r="V43" s="14"/>
      <c r="W43" s="13"/>
      <c r="X43" s="13"/>
      <c r="Y43" s="13"/>
      <c r="Z43" s="14"/>
      <c r="AA43" s="14"/>
      <c r="AB43" s="13"/>
      <c r="AC43" s="13"/>
      <c r="AD43" s="15" t="str">
        <f t="shared" si="2"/>
        <v/>
      </c>
      <c r="AE43" s="15" t="str">
        <f t="shared" si="3"/>
        <v/>
      </c>
      <c r="AF43" s="15" t="str">
        <f>IF(OR(V43="",Seeds!$C$8=""),"",V43-Seeds!$C$8)</f>
        <v/>
      </c>
      <c r="AG43" s="15" t="str">
        <f>IF(OR(AF43="",Seeds!$C$10=""),"",IF(ABS(AF43)&gt;Seeds!$C$10,"Có","Không"))</f>
        <v/>
      </c>
    </row>
    <row r="44" spans="1:33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  <c r="Q44" s="14"/>
      <c r="R44" s="13"/>
      <c r="S44" s="14"/>
      <c r="T44" s="14"/>
      <c r="U44" s="14"/>
      <c r="V44" s="14"/>
      <c r="W44" s="13"/>
      <c r="X44" s="13"/>
      <c r="Y44" s="13"/>
      <c r="Z44" s="14"/>
      <c r="AA44" s="14"/>
      <c r="AB44" s="13"/>
      <c r="AC44" s="13"/>
      <c r="AD44" s="15" t="str">
        <f t="shared" si="2"/>
        <v/>
      </c>
      <c r="AE44" s="15" t="str">
        <f t="shared" si="3"/>
        <v/>
      </c>
      <c r="AF44" s="15" t="str">
        <f>IF(OR(V44="",Seeds!$C$8=""),"",V44-Seeds!$C$8)</f>
        <v/>
      </c>
      <c r="AG44" s="15" t="str">
        <f>IF(OR(AF44="",Seeds!$C$10=""),"",IF(ABS(AF44)&gt;Seeds!$C$10,"Có","Không"))</f>
        <v/>
      </c>
    </row>
    <row r="45" spans="1:33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4"/>
      <c r="Q45" s="14"/>
      <c r="R45" s="13"/>
      <c r="S45" s="14"/>
      <c r="T45" s="14"/>
      <c r="U45" s="14"/>
      <c r="V45" s="14"/>
      <c r="W45" s="13"/>
      <c r="X45" s="13"/>
      <c r="Y45" s="13"/>
      <c r="Z45" s="14"/>
      <c r="AA45" s="14"/>
      <c r="AB45" s="13"/>
      <c r="AC45" s="13"/>
      <c r="AD45" s="15" t="str">
        <f t="shared" si="2"/>
        <v/>
      </c>
      <c r="AE45" s="15" t="str">
        <f t="shared" si="3"/>
        <v/>
      </c>
      <c r="AF45" s="15" t="str">
        <f>IF(OR(V45="",Seeds!$C$8=""),"",V45-Seeds!$C$8)</f>
        <v/>
      </c>
      <c r="AG45" s="15" t="str">
        <f>IF(OR(AF45="",Seeds!$C$10=""),"",IF(ABS(AF45)&gt;Seeds!$C$10,"Có","Không"))</f>
        <v/>
      </c>
    </row>
    <row r="46" spans="1:33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16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328125" defaultRowHeight="14.5" x14ac:dyDescent="0.35"/>
  <cols>
    <col min="1" max="1" width="26" customWidth="1"/>
    <col min="2" max="4" width="16" customWidth="1"/>
  </cols>
  <sheetData>
    <row r="1" spans="1:4" ht="30" customHeight="1" x14ac:dyDescent="0.35">
      <c r="A1" s="7" t="s">
        <v>167</v>
      </c>
      <c r="B1" s="7" t="s">
        <v>70</v>
      </c>
      <c r="C1" s="7" t="s">
        <v>73</v>
      </c>
      <c r="D1" s="7" t="s">
        <v>61</v>
      </c>
    </row>
    <row r="2" spans="1:4" ht="15" customHeight="1" x14ac:dyDescent="0.3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0.90346593231643035</v>
      </c>
      <c r="C2" s="15">
        <f>IF($A2="","",IFERROR(IF(INDEX(Experiments!$V$2:$V$61,MATCH($A2,Experiments!$A$2:$A$61,0))="","",INDEX(Experiments!$V$2:$V$61,MATCH($A2,Experiments!$A$2:$A$61,0))),""))</f>
        <v>0</v>
      </c>
      <c r="D2" s="15">
        <f>IF($A2="","",IFERROR(IF(INDEX(Experiments!$Q$2:$Q$61,MATCH($A2,Experiments!$A$2:$A$61,0))="","",INDEX(Experiments!$Q$2:$Q$61,MATCH($A2,Experiments!$A$2:$A$61,0))),""))</f>
        <v>0.2381998747587204</v>
      </c>
    </row>
    <row r="3" spans="1:4" ht="15" customHeight="1" x14ac:dyDescent="0.35">
      <c r="A3" s="12" t="s">
        <v>124</v>
      </c>
      <c r="B3" s="15">
        <f>IF($A3="","",IFERROR(IF(INDEX(Experiments!$U$2:$U$61,MATCH($A3,Experiments!$A$2:$A$61,0))="","",INDEX(Experiments!$U$2:$U$61,MATCH($A3,Experiments!$A$2:$A$61,0))),""))</f>
        <v>0.91010305286030846</v>
      </c>
      <c r="C3" s="15">
        <f>IF($A3="","",IFERROR(IF(INDEX(Experiments!$V$2:$V$61,MATCH($A3,Experiments!$A$2:$A$61,0))="","",INDEX(Experiments!$V$2:$V$61,MATCH($A3,Experiments!$A$2:$A$61,0))),""))</f>
        <v>0.85688068366609538</v>
      </c>
      <c r="D3" s="15">
        <f>IF($A3="","",IFERROR(IF(INDEX(Experiments!$Q$2:$Q$61,MATCH($A3,Experiments!$A$2:$A$61,0))="","",INDEX(Experiments!$Q$2:$Q$61,MATCH($A3,Experiments!$A$2:$A$61,0))),""))</f>
        <v>0.2244814932346344</v>
      </c>
    </row>
    <row r="4" spans="1:4" ht="15" customHeight="1" x14ac:dyDescent="0.35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0.9088014457520277</v>
      </c>
      <c r="C4" s="15">
        <f>IF($A4="","",IFERROR(IF(INDEX(Experiments!$V$2:$V$61,MATCH($A4,Experiments!$A$2:$A$61,0))="","",INDEX(Experiments!$V$2:$V$61,MATCH($A4,Experiments!$A$2:$A$61,0))),""))</f>
        <v>0.8556478551121367</v>
      </c>
      <c r="D4" s="15">
        <f>IF($A4="","",IFERROR(IF(INDEX(Experiments!$Q$2:$Q$61,MATCH($A4,Experiments!$A$2:$A$61,0))="","",INDEX(Experiments!$Q$2:$Q$61,MATCH($A4,Experiments!$A$2:$A$61,0))),""))</f>
        <v>0.23048204183578491</v>
      </c>
    </row>
    <row r="5" spans="1:4" ht="15" customHeight="1" x14ac:dyDescent="0.3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3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35">
      <c r="A8" s="16" t="s">
        <v>168</v>
      </c>
      <c r="B8" s="15">
        <f>IF(COUNT(B2:B6)=0,"",AVERAGE(B2:B6))</f>
        <v>0.90745681030958891</v>
      </c>
      <c r="C8" s="15">
        <f>IF(COUNT(C2:C6)=0,"",AVERAGE(C2:C6))</f>
        <v>0.57084284625941073</v>
      </c>
      <c r="D8" s="15">
        <f>IF(COUNT(D2:D6)=0,"",AVERAGE(D2:D6))</f>
        <v>0.23105446994304657</v>
      </c>
    </row>
    <row r="9" spans="1:4" ht="15" customHeight="1" x14ac:dyDescent="0.35">
      <c r="A9" s="16" t="s">
        <v>169</v>
      </c>
      <c r="B9" s="15">
        <f>IF(COUNT(B2:B6)&lt;2,"",STDEV(B2:B6))</f>
        <v>3.5169412325612255E-3</v>
      </c>
      <c r="C9" s="15">
        <f>IF(COUNT(C2:C6)&lt;2,"",STDEV(C2:C6))</f>
        <v>0.4943647907271711</v>
      </c>
      <c r="D9" s="15">
        <f>IF(COUNT(D2:D6)&lt;2,"",STDEV(D2:D6))</f>
        <v>6.8770817476298323E-3</v>
      </c>
    </row>
    <row r="10" spans="1:4" ht="15" customHeight="1" x14ac:dyDescent="0.35">
      <c r="A10" s="16" t="s">
        <v>170</v>
      </c>
      <c r="B10" s="15">
        <f>IF(B9="","",2*B9)</f>
        <v>7.033882465122451E-3</v>
      </c>
      <c r="C10" s="15">
        <f>IF(C9="","",2*C9)</f>
        <v>0.9887295814543422</v>
      </c>
      <c r="D10" s="15">
        <f>IF(D9="","",2*D9)</f>
        <v>1.3754163495259665E-2</v>
      </c>
    </row>
    <row r="12" spans="1:4" ht="15" customHeight="1" x14ac:dyDescent="0.35">
      <c r="A12" s="2" t="s">
        <v>171</v>
      </c>
    </row>
    <row r="13" spans="1:4" ht="15" customHeight="1" x14ac:dyDescent="0.35">
      <c r="A13" s="2" t="s">
        <v>172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328125" defaultRowHeight="14.5" x14ac:dyDescent="0.3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26" x14ac:dyDescent="0.35">
      <c r="A1" s="7" t="s">
        <v>21</v>
      </c>
      <c r="B1" s="7" t="s">
        <v>173</v>
      </c>
      <c r="C1" s="7" t="s">
        <v>174</v>
      </c>
      <c r="D1" s="7" t="s">
        <v>175</v>
      </c>
      <c r="E1" s="7" t="s">
        <v>176</v>
      </c>
      <c r="F1" s="7" t="s">
        <v>177</v>
      </c>
      <c r="G1" s="7" t="s">
        <v>178</v>
      </c>
      <c r="H1" s="7" t="s">
        <v>179</v>
      </c>
    </row>
    <row r="2" spans="1:8" ht="25" x14ac:dyDescent="0.3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0.85688068366609538</v>
      </c>
      <c r="E2" s="15">
        <f>IF(C2=0,"",_xlfn.MINIFS(Experiments!$V$2:$V$61,Experiments!$B$2:$B$61,A2))</f>
        <v>0</v>
      </c>
      <c r="F2" s="15">
        <f>IF(C2=0,"",_xlfn.MAXIFS(Experiments!$U$2:$U$61,Experiments!$B$2:$B$61,A2))</f>
        <v>0.91010305286030846</v>
      </c>
      <c r="G2" s="17" t="s">
        <v>180</v>
      </c>
      <c r="H2" s="18" t="s">
        <v>181</v>
      </c>
    </row>
    <row r="3" spans="1:8" ht="25" x14ac:dyDescent="0.35">
      <c r="A3" s="11" t="s">
        <v>27</v>
      </c>
      <c r="B3" s="17">
        <f>COUNTIF(Experiments!$B$2:$B$61,A3)</f>
        <v>1</v>
      </c>
      <c r="C3" s="17">
        <f>COUNTIFS(Experiments!$B$2:$B$61,A3,Experiments!$V$2:$V$61,"&lt;&gt;")</f>
        <v>1</v>
      </c>
      <c r="D3" s="15">
        <f>IF(C3=0,"",_xlfn.MAXIFS(Experiments!$V$2:$V$61,Experiments!$B$2:$B$61,A3))</f>
        <v>0.73606645090531686</v>
      </c>
      <c r="E3" s="15">
        <f>IF(C3=0,"",_xlfn.MINIFS(Experiments!$V$2:$V$61,Experiments!$B$2:$B$61,A3))</f>
        <v>0.73606645090531686</v>
      </c>
      <c r="F3" s="15">
        <f>IF(C3=0,"",_xlfn.MAXIFS(Experiments!$U$2:$U$61,Experiments!$B$2:$B$61,A3))</f>
        <v>0.87105483961188446</v>
      </c>
      <c r="G3" s="17" t="str">
        <f t="shared" ref="G3:G9" si="0">IF(C3&gt;0,"Có","Chưa")</f>
        <v>Có</v>
      </c>
      <c r="H3" s="18" t="s">
        <v>182</v>
      </c>
    </row>
    <row r="4" spans="1:8" ht="25" x14ac:dyDescent="0.35">
      <c r="A4" s="11" t="s">
        <v>29</v>
      </c>
      <c r="B4" s="17">
        <f>COUNTIF(Experiments!$B$2:$B$61,A4)</f>
        <v>3</v>
      </c>
      <c r="C4" s="17">
        <f>COUNTIFS(Experiments!$B$2:$B$61,A4,Experiments!$V$2:$V$61,"&lt;&gt;")</f>
        <v>3</v>
      </c>
      <c r="D4" s="15">
        <f>IF(C4=0,"",_xlfn.MAXIFS(Experiments!$V$2:$V$61,Experiments!$B$2:$B$61,A4))</f>
        <v>0.87403481732627952</v>
      </c>
      <c r="E4" s="15">
        <f>IF(C4=0,"",_xlfn.MINIFS(Experiments!$V$2:$V$61,Experiments!$B$2:$B$61,A4))</f>
        <v>0.82642731454689089</v>
      </c>
      <c r="F4" s="15">
        <f>IF(C4=0,"",_xlfn.MAXIFS(Experiments!$U$2:$U$61,Experiments!$B$2:$B$61,A4))</f>
        <v>0.91596566338934193</v>
      </c>
      <c r="G4" s="17" t="str">
        <f t="shared" si="0"/>
        <v>Có</v>
      </c>
      <c r="H4" s="18" t="s">
        <v>183</v>
      </c>
    </row>
    <row r="5" spans="1:8" ht="25" x14ac:dyDescent="0.35">
      <c r="A5" s="11" t="s">
        <v>129</v>
      </c>
      <c r="B5" s="17">
        <f>COUNTIF(Experiments!$B$2:$B$61,A5)</f>
        <v>1</v>
      </c>
      <c r="C5" s="17">
        <f>COUNTIFS(Experiments!$B$2:$B$61,A5,Experiments!$V$2:$V$61,"&lt;&gt;")</f>
        <v>1</v>
      </c>
      <c r="D5" s="15">
        <f>IF(C5=0,"",_xlfn.MAXIFS(Experiments!$V$2:$V$61,Experiments!$B$2:$B$61,A5))</f>
        <v>0.80949822208590116</v>
      </c>
      <c r="E5" s="15">
        <f>IF(C5=0,"",_xlfn.MINIFS(Experiments!$V$2:$V$61,Experiments!$B$2:$B$61,A5))</f>
        <v>0.80949822208590116</v>
      </c>
      <c r="F5" s="15">
        <f>IF(C5=0,"",_xlfn.MAXIFS(Experiments!$U$2:$U$61,Experiments!$B$2:$B$61,A5))</f>
        <v>0.88220993524235714</v>
      </c>
      <c r="G5" s="17" t="str">
        <f t="shared" si="0"/>
        <v>Có</v>
      </c>
      <c r="H5" s="18" t="s">
        <v>184</v>
      </c>
    </row>
    <row r="6" spans="1:8" ht="25" x14ac:dyDescent="0.35">
      <c r="A6" s="11" t="s">
        <v>46</v>
      </c>
      <c r="B6" s="17">
        <f>COUNTIF(Experiments!$B$2:$B$61,A6)</f>
        <v>1</v>
      </c>
      <c r="C6" s="17">
        <f>COUNTIFS(Experiments!$B$2:$B$61,A6,Experiments!$V$2:$V$61,"&lt;&gt;")</f>
        <v>1</v>
      </c>
      <c r="D6" s="15">
        <f>IF(C6=0,"",_xlfn.MAXIFS(Experiments!$V$2:$V$61,Experiments!$B$2:$B$61,A6))</f>
        <v>0.84176639543006171</v>
      </c>
      <c r="E6" s="15">
        <f>IF(C6=0,"",_xlfn.MINIFS(Experiments!$V$2:$V$61,Experiments!$B$2:$B$61,A6))</f>
        <v>0.84176639543006171</v>
      </c>
      <c r="F6" s="15">
        <f>IF(C6=0,"",_xlfn.MAXIFS(Experiments!$U$2:$U$61,Experiments!$B$2:$B$61,A6))</f>
        <v>0.89824874679976763</v>
      </c>
      <c r="G6" s="17" t="str">
        <f t="shared" si="0"/>
        <v>Có</v>
      </c>
      <c r="H6" s="18" t="s">
        <v>185</v>
      </c>
    </row>
    <row r="7" spans="1:8" ht="25" x14ac:dyDescent="0.35">
      <c r="A7" s="11" t="s">
        <v>133</v>
      </c>
      <c r="B7" s="17">
        <f>COUNTIF(Experiments!$B$2:$B$61,A7)</f>
        <v>3</v>
      </c>
      <c r="C7" s="17">
        <f>COUNTIFS(Experiments!$B$2:$B$61,A7,Experiments!$V$2:$V$61,"&lt;&gt;")</f>
        <v>3</v>
      </c>
      <c r="D7" s="15">
        <f>IF(C7=0,"",_xlfn.MAXIFS(Experiments!$V$2:$V$61,Experiments!$B$2:$B$61,A7))</f>
        <v>0.82775516141497507</v>
      </c>
      <c r="E7" s="15">
        <f>IF(C7=0,"",_xlfn.MINIFS(Experiments!$V$2:$V$61,Experiments!$B$2:$B$61,A7))</f>
        <v>0.744103453992362</v>
      </c>
      <c r="F7" s="15">
        <f>IF(C7=0,"",_xlfn.MAXIFS(Experiments!$U$2:$U$61,Experiments!$B$2:$B$61,A7))</f>
        <v>0.89828101805038618</v>
      </c>
      <c r="G7" s="17" t="str">
        <f t="shared" si="0"/>
        <v>Có</v>
      </c>
      <c r="H7" s="18" t="s">
        <v>186</v>
      </c>
    </row>
    <row r="8" spans="1:8" x14ac:dyDescent="0.35">
      <c r="A8" s="11" t="s">
        <v>187</v>
      </c>
      <c r="B8" s="17">
        <f>COUNTIF(Experiments!$B$2:$B$61,A8)</f>
        <v>0</v>
      </c>
      <c r="C8" s="17">
        <f>COUNTIFS(Experiments!$B$2:$B$61,A8,Experiments!$V$2:$V$61,"&lt;&gt;")</f>
        <v>0</v>
      </c>
      <c r="D8" s="15" t="str">
        <f>IF(C8=0,"",_xlfn.MAXIFS(Experiments!$V$2:$V$61,Experiments!$B$2:$B$61,A8))</f>
        <v/>
      </c>
      <c r="E8" s="15" t="str">
        <f>IF(C8=0,"",_xlfn.MINIFS(Experiments!$V$2:$V$61,Experiments!$B$2:$B$61,A8))</f>
        <v/>
      </c>
      <c r="F8" s="15" t="str">
        <f>IF(C8=0,"",_xlfn.MAXIFS(Experiments!$U$2:$U$61,Experiments!$B$2:$B$61,A8))</f>
        <v/>
      </c>
      <c r="G8" s="17" t="str">
        <f t="shared" si="0"/>
        <v>Chưa</v>
      </c>
      <c r="H8" s="18"/>
    </row>
    <row r="9" spans="1:8" x14ac:dyDescent="0.35">
      <c r="A9" s="11" t="s">
        <v>53</v>
      </c>
      <c r="B9" s="17">
        <f>COUNTIF(Experiments!$B$2:$B$61,A9)</f>
        <v>0</v>
      </c>
      <c r="C9" s="17">
        <f>COUNTIFS(Experiments!$B$2:$B$61,A9,Experiments!$V$2:$V$61,"&lt;&gt;")</f>
        <v>0</v>
      </c>
      <c r="D9" s="15" t="str">
        <f>IF(C9=0,"",_xlfn.MAXIFS(Experiments!$V$2:$V$61,Experiments!$B$2:$B$61,A9))</f>
        <v/>
      </c>
      <c r="E9" s="15" t="str">
        <f>IF(C9=0,"",_xlfn.MINIFS(Experiments!$V$2:$V$61,Experiments!$B$2:$B$61,A9))</f>
        <v/>
      </c>
      <c r="F9" s="15" t="str">
        <f>IF(C9=0,"",_xlfn.MAXIFS(Experiments!$U$2:$U$61,Experiments!$B$2:$B$61,A9))</f>
        <v/>
      </c>
      <c r="G9" s="17" t="str">
        <f t="shared" si="0"/>
        <v>Chưa</v>
      </c>
      <c r="H9" s="18"/>
    </row>
    <row r="10" spans="1:8" x14ac:dyDescent="0.35">
      <c r="A10" s="11" t="s">
        <v>188</v>
      </c>
      <c r="B10" s="17">
        <f>COUNTIF(Experiments!$B$2:$B$61,A10)</f>
        <v>0</v>
      </c>
      <c r="C10" s="17">
        <f>COUNTIFS(Experiments!$B$2:$B$61,A10,Experiments!$V$2:$V$61,"&lt;&gt;")</f>
        <v>0</v>
      </c>
      <c r="D10" s="15" t="str">
        <f>IF(C10=0,"",_xlfn.MAXIFS(Experiments!$V$2:$V$61,Experiments!$B$2:$B$61,A10))</f>
        <v/>
      </c>
      <c r="E10" s="15" t="str">
        <f>IF(C10=0,"",_xlfn.MINIFS(Experiments!$V$2:$V$61,Experiments!$B$2:$B$61,A10))</f>
        <v/>
      </c>
      <c r="F10" s="15" t="str">
        <f>IF(C10=0,"",_xlfn.MAXIFS(Experiments!$U$2:$U$61,Experiments!$B$2:$B$61,A10))</f>
        <v/>
      </c>
      <c r="G10" s="17" t="s">
        <v>180</v>
      </c>
      <c r="H10" s="18"/>
    </row>
    <row r="11" spans="1:8" x14ac:dyDescent="0.35">
      <c r="A11" s="11" t="s">
        <v>189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180</v>
      </c>
      <c r="H11" s="18"/>
    </row>
    <row r="12" spans="1:8" ht="29" x14ac:dyDescent="0.35">
      <c r="A12" t="s">
        <v>150</v>
      </c>
      <c r="B12" s="17">
        <f>COUNTIF(Experiments!$B$2:$B$61,A12)</f>
        <v>3</v>
      </c>
      <c r="C12" s="17">
        <f>COUNTIFS(Experiments!$B$2:$B$61,A12,Experiments!$V$2:$V$61,"&lt;&gt;")</f>
        <v>3</v>
      </c>
      <c r="D12" s="15">
        <f>IF(C12=0,"",_xlfn.MAXIFS(Experiments!$V$2:$V$61,Experiments!$B$2:$B$61,A12))</f>
        <v>0.70624721210864405</v>
      </c>
      <c r="E12" s="15">
        <f>IF(C12=0,"",_xlfn.MINIFS(Experiments!$V$2:$V$61,Experiments!$B$2:$B$61,A12))</f>
        <v>0.59855804529730805</v>
      </c>
      <c r="F12" s="15">
        <f>IF(C12=0,"",_xlfn.MAXIFS(Experiments!$U$2:$U$61,Experiments!$B$2:$B$61,A12))</f>
        <v>0.84604462038252193</v>
      </c>
      <c r="G12" t="s">
        <v>180</v>
      </c>
      <c r="H12" s="20" t="s">
        <v>190</v>
      </c>
    </row>
    <row r="13" spans="1:8" x14ac:dyDescent="0.35">
      <c r="A13" s="3" t="s">
        <v>191</v>
      </c>
      <c r="D13" s="3">
        <f>COUNTIF(G2:G11,"Có")</f>
        <v>5</v>
      </c>
    </row>
    <row r="14" spans="1:8" x14ac:dyDescent="0.35">
      <c r="A14" s="2" t="s">
        <v>192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Van Nam</cp:lastModifiedBy>
  <cp:revision>0</cp:revision>
  <dcterms:created xsi:type="dcterms:W3CDTF">2026-10-02T03:40:32Z</dcterms:created>
  <dcterms:modified xsi:type="dcterms:W3CDTF">2026-10-04T03:48:08Z</dcterms:modified>
  <dc:language>en-US</dc:language>
</cp:coreProperties>
</file>